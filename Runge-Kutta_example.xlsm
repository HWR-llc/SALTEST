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435"/>
  </bookViews>
  <sheets>
    <sheet name="del t = 0.05" sheetId="1" r:id="rId1"/>
    <sheet name="del t = 0.01" sheetId="5" r:id="rId2"/>
    <sheet name="Water Levels" sheetId="4" r:id="rId3"/>
    <sheet name="Sheet2" sheetId="2" r:id="rId4"/>
    <sheet name="Sheet3" sheetId="3" r:id="rId5"/>
  </sheets>
  <functionGroups builtInGroupCount="18"/>
  <calcPr calcId="152511"/>
</workbook>
</file>

<file path=xl/calcChain.xml><?xml version="1.0" encoding="utf-8"?>
<calcChain xmlns="http://schemas.openxmlformats.org/spreadsheetml/2006/main">
  <c r="B4" i="5" l="1"/>
  <c r="B3" i="5"/>
  <c r="E140" i="5"/>
  <c r="Q140" i="5" s="1"/>
  <c r="K140" i="5"/>
  <c r="E141" i="5"/>
  <c r="E53" i="5"/>
  <c r="Q53" i="5" s="1"/>
  <c r="K53" i="5"/>
  <c r="E54" i="5"/>
  <c r="E13" i="5"/>
  <c r="K13" i="5" s="1"/>
  <c r="Q12" i="5"/>
  <c r="K12" i="5"/>
  <c r="F12" i="5"/>
  <c r="C11" i="5"/>
  <c r="C10" i="5"/>
  <c r="C9" i="5"/>
  <c r="M140" i="5"/>
  <c r="G140" i="5"/>
  <c r="S140" i="5"/>
  <c r="G141" i="5"/>
  <c r="G54" i="5"/>
  <c r="G53" i="5"/>
  <c r="M53" i="5"/>
  <c r="S53" i="5"/>
  <c r="H12" i="5"/>
  <c r="M13" i="5"/>
  <c r="M12" i="5"/>
  <c r="S12" i="5"/>
  <c r="G13" i="5"/>
  <c r="G12" i="5"/>
  <c r="G12" i="1"/>
  <c r="G3" i="2"/>
  <c r="K141" i="5" l="1"/>
  <c r="Q141" i="5"/>
  <c r="E142" i="5"/>
  <c r="K54" i="5"/>
  <c r="Q54" i="5"/>
  <c r="E55" i="5"/>
  <c r="Q13" i="5"/>
  <c r="E14" i="5"/>
  <c r="I12" i="5"/>
  <c r="J12" i="5" s="1"/>
  <c r="Q13" i="1"/>
  <c r="Q12" i="1"/>
  <c r="E13" i="1"/>
  <c r="K13" i="1" s="1"/>
  <c r="M141" i="5"/>
  <c r="G142" i="5"/>
  <c r="S141" i="5"/>
  <c r="M54" i="5"/>
  <c r="S54" i="5"/>
  <c r="G55" i="5"/>
  <c r="S13" i="5"/>
  <c r="G14" i="5"/>
  <c r="S12" i="1"/>
  <c r="G13" i="1"/>
  <c r="M13" i="1"/>
  <c r="S13" i="1"/>
  <c r="E143" i="5" l="1"/>
  <c r="Q142" i="5"/>
  <c r="K142" i="5"/>
  <c r="E56" i="5"/>
  <c r="K55" i="5"/>
  <c r="Q55" i="5"/>
  <c r="K14" i="5"/>
  <c r="E15" i="5"/>
  <c r="Q14" i="5"/>
  <c r="L12" i="5"/>
  <c r="W12" i="5"/>
  <c r="F13" i="5" s="1"/>
  <c r="E14" i="1"/>
  <c r="K12" i="1"/>
  <c r="F12" i="1"/>
  <c r="G143" i="5"/>
  <c r="S142" i="5"/>
  <c r="M142" i="5"/>
  <c r="S55" i="5"/>
  <c r="G56" i="5"/>
  <c r="M55" i="5"/>
  <c r="S14" i="5"/>
  <c r="M14" i="5"/>
  <c r="G15" i="5"/>
  <c r="N12" i="5"/>
  <c r="H13" i="5"/>
  <c r="G14" i="1"/>
  <c r="M12" i="1"/>
  <c r="E144" i="5" l="1"/>
  <c r="Q143" i="5"/>
  <c r="K143" i="5"/>
  <c r="Q56" i="5"/>
  <c r="K56" i="5"/>
  <c r="E57" i="5"/>
  <c r="E16" i="5"/>
  <c r="K15" i="5"/>
  <c r="Q15" i="5"/>
  <c r="I13" i="5"/>
  <c r="J13" i="5" s="1"/>
  <c r="L13" i="5" s="1"/>
  <c r="O12" i="5"/>
  <c r="P12" i="5" s="1"/>
  <c r="R12" i="5" s="1"/>
  <c r="K16" i="5"/>
  <c r="Q16" i="5"/>
  <c r="E17" i="5"/>
  <c r="E15" i="1"/>
  <c r="K14" i="1"/>
  <c r="Q14" i="1"/>
  <c r="I12" i="1"/>
  <c r="G144" i="5"/>
  <c r="S143" i="5"/>
  <c r="M143" i="5"/>
  <c r="S56" i="5"/>
  <c r="G57" i="5"/>
  <c r="M56" i="5"/>
  <c r="G16" i="5"/>
  <c r="M15" i="5"/>
  <c r="S15" i="5"/>
  <c r="M16" i="5"/>
  <c r="S16" i="5"/>
  <c r="G17" i="5"/>
  <c r="T12" i="5"/>
  <c r="N13" i="5"/>
  <c r="M14" i="1"/>
  <c r="G15" i="1"/>
  <c r="S14" i="1"/>
  <c r="Q144" i="5" l="1"/>
  <c r="K144" i="5"/>
  <c r="E145" i="5"/>
  <c r="E58" i="5"/>
  <c r="K57" i="5"/>
  <c r="Q57" i="5"/>
  <c r="O13" i="5"/>
  <c r="P13" i="5" s="1"/>
  <c r="R13" i="5" s="1"/>
  <c r="W13" i="5"/>
  <c r="F14" i="5" s="1"/>
  <c r="U12" i="5"/>
  <c r="V12" i="5" s="1"/>
  <c r="E18" i="5"/>
  <c r="K17" i="5"/>
  <c r="Q17" i="5"/>
  <c r="E16" i="1"/>
  <c r="K15" i="1"/>
  <c r="Q15" i="1"/>
  <c r="C10" i="1"/>
  <c r="C11" i="1"/>
  <c r="C9" i="1"/>
  <c r="M144" i="5"/>
  <c r="G145" i="5"/>
  <c r="S144" i="5"/>
  <c r="G58" i="5"/>
  <c r="M57" i="5"/>
  <c r="S57" i="5"/>
  <c r="S17" i="5"/>
  <c r="T13" i="5"/>
  <c r="H14" i="5"/>
  <c r="G18" i="5"/>
  <c r="M17" i="5"/>
  <c r="G16" i="1"/>
  <c r="S15" i="1"/>
  <c r="M15" i="1"/>
  <c r="H12" i="1"/>
  <c r="E146" i="5" l="1"/>
  <c r="K145" i="5"/>
  <c r="Q145" i="5"/>
  <c r="K58" i="5"/>
  <c r="Q58" i="5"/>
  <c r="E59" i="5"/>
  <c r="E19" i="5"/>
  <c r="K18" i="5"/>
  <c r="Q18" i="5"/>
  <c r="I14" i="5"/>
  <c r="J14" i="5" s="1"/>
  <c r="L14" i="5" s="1"/>
  <c r="U13" i="5"/>
  <c r="V13" i="5" s="1"/>
  <c r="E17" i="1"/>
  <c r="K16" i="1"/>
  <c r="Q16" i="1"/>
  <c r="J12" i="1"/>
  <c r="G146" i="5"/>
  <c r="M145" i="5"/>
  <c r="S145" i="5"/>
  <c r="S58" i="5"/>
  <c r="G59" i="5"/>
  <c r="M58" i="5"/>
  <c r="G19" i="5"/>
  <c r="M18" i="5"/>
  <c r="S18" i="5"/>
  <c r="N14" i="5"/>
  <c r="G17" i="1"/>
  <c r="M16" i="1"/>
  <c r="S16" i="1"/>
  <c r="K146" i="5" l="1"/>
  <c r="Q146" i="5"/>
  <c r="E147" i="5"/>
  <c r="E60" i="5"/>
  <c r="K59" i="5"/>
  <c r="Q59" i="5"/>
  <c r="W14" i="5"/>
  <c r="F15" i="5" s="1"/>
  <c r="O14" i="5"/>
  <c r="P14" i="5" s="1"/>
  <c r="R14" i="5" s="1"/>
  <c r="Q19" i="5"/>
  <c r="E20" i="5"/>
  <c r="K19" i="5"/>
  <c r="E18" i="1"/>
  <c r="K17" i="1"/>
  <c r="Q17" i="1"/>
  <c r="L12" i="1"/>
  <c r="W12" i="1"/>
  <c r="F13" i="1" s="1"/>
  <c r="M146" i="5"/>
  <c r="S146" i="5"/>
  <c r="G147" i="5"/>
  <c r="G60" i="5"/>
  <c r="M59" i="5"/>
  <c r="S59" i="5"/>
  <c r="H15" i="5"/>
  <c r="S19" i="5"/>
  <c r="G20" i="5"/>
  <c r="M19" i="5"/>
  <c r="T14" i="5"/>
  <c r="G18" i="1"/>
  <c r="M17" i="1"/>
  <c r="S17" i="1"/>
  <c r="H13" i="1"/>
  <c r="N12" i="1"/>
  <c r="E148" i="5" l="1"/>
  <c r="Q147" i="5"/>
  <c r="K147" i="5"/>
  <c r="Q60" i="5"/>
  <c r="K60" i="5"/>
  <c r="E61" i="5"/>
  <c r="I15" i="5"/>
  <c r="J15" i="5" s="1"/>
  <c r="L15" i="5" s="1"/>
  <c r="U14" i="5"/>
  <c r="V14" i="5" s="1"/>
  <c r="Q20" i="5"/>
  <c r="K20" i="5"/>
  <c r="E21" i="5"/>
  <c r="E19" i="1"/>
  <c r="K18" i="1"/>
  <c r="Q18" i="1"/>
  <c r="O12" i="1"/>
  <c r="P12" i="1" s="1"/>
  <c r="R12" i="1" s="1"/>
  <c r="I13" i="1"/>
  <c r="J13" i="1" s="1"/>
  <c r="G148" i="5"/>
  <c r="S147" i="5"/>
  <c r="M147" i="5"/>
  <c r="S60" i="5"/>
  <c r="M60" i="5"/>
  <c r="G61" i="5"/>
  <c r="G21" i="5"/>
  <c r="N15" i="5"/>
  <c r="M20" i="5"/>
  <c r="S20" i="5"/>
  <c r="G19" i="1"/>
  <c r="M18" i="1"/>
  <c r="S18" i="1"/>
  <c r="T12" i="1"/>
  <c r="W15" i="5" l="1"/>
  <c r="F16" i="5" s="1"/>
  <c r="I16" i="5" s="1"/>
  <c r="Q148" i="5"/>
  <c r="K148" i="5"/>
  <c r="E149" i="5"/>
  <c r="E62" i="5"/>
  <c r="K61" i="5"/>
  <c r="Q61" i="5"/>
  <c r="O15" i="5"/>
  <c r="P15" i="5" s="1"/>
  <c r="R15" i="5" s="1"/>
  <c r="K21" i="5"/>
  <c r="E22" i="5"/>
  <c r="Q21" i="5"/>
  <c r="E20" i="1"/>
  <c r="K19" i="1"/>
  <c r="Q19" i="1"/>
  <c r="L13" i="1"/>
  <c r="W13" i="1"/>
  <c r="F14" i="1" s="1"/>
  <c r="U12" i="1"/>
  <c r="V12" i="1" s="1"/>
  <c r="H16" i="5"/>
  <c r="G149" i="5"/>
  <c r="S148" i="5"/>
  <c r="M148" i="5"/>
  <c r="S61" i="5"/>
  <c r="G62" i="5"/>
  <c r="M61" i="5"/>
  <c r="S21" i="5"/>
  <c r="M21" i="5"/>
  <c r="G22" i="5"/>
  <c r="T15" i="5"/>
  <c r="G20" i="1"/>
  <c r="M19" i="1"/>
  <c r="S19" i="1"/>
  <c r="H14" i="1"/>
  <c r="N13" i="1"/>
  <c r="J16" i="5" l="1"/>
  <c r="K149" i="5"/>
  <c r="E150" i="5"/>
  <c r="Q149" i="5"/>
  <c r="K62" i="5"/>
  <c r="Q62" i="5"/>
  <c r="E63" i="5"/>
  <c r="U15" i="5"/>
  <c r="V15" i="5" s="1"/>
  <c r="Q22" i="5"/>
  <c r="E23" i="5"/>
  <c r="K22" i="5"/>
  <c r="E21" i="1"/>
  <c r="K20" i="1"/>
  <c r="Q20" i="1"/>
  <c r="O13" i="1"/>
  <c r="P13" i="1" s="1"/>
  <c r="R13" i="1" s="1"/>
  <c r="I14" i="1"/>
  <c r="J14" i="1" s="1"/>
  <c r="M149" i="5"/>
  <c r="G150" i="5"/>
  <c r="S149" i="5"/>
  <c r="M62" i="5"/>
  <c r="S62" i="5"/>
  <c r="G63" i="5"/>
  <c r="S22" i="5"/>
  <c r="G23" i="5"/>
  <c r="M22" i="5"/>
  <c r="G21" i="1"/>
  <c r="M20" i="1"/>
  <c r="S20" i="1"/>
  <c r="T13" i="1"/>
  <c r="L16" i="5" l="1"/>
  <c r="W16" i="5"/>
  <c r="F17" i="5" s="1"/>
  <c r="E151" i="5"/>
  <c r="Q150" i="5"/>
  <c r="K150" i="5"/>
  <c r="E64" i="5"/>
  <c r="Q63" i="5"/>
  <c r="K63" i="5"/>
  <c r="Q23" i="5"/>
  <c r="E24" i="5"/>
  <c r="K23" i="5"/>
  <c r="E22" i="1"/>
  <c r="K21" i="1"/>
  <c r="Q21" i="1"/>
  <c r="W14" i="1"/>
  <c r="F15" i="1" s="1"/>
  <c r="L14" i="1"/>
  <c r="U13" i="1"/>
  <c r="V13" i="1" s="1"/>
  <c r="N16" i="5"/>
  <c r="H17" i="5"/>
  <c r="S150" i="5"/>
  <c r="M150" i="5"/>
  <c r="G151" i="5"/>
  <c r="G64" i="5"/>
  <c r="S63" i="5"/>
  <c r="M63" i="5"/>
  <c r="S23" i="5"/>
  <c r="M23" i="5"/>
  <c r="G24" i="5"/>
  <c r="G22" i="1"/>
  <c r="M21" i="1"/>
  <c r="S21" i="1"/>
  <c r="H15" i="1"/>
  <c r="N14" i="1"/>
  <c r="I17" i="5" l="1"/>
  <c r="J17" i="5" s="1"/>
  <c r="O16" i="5"/>
  <c r="P16" i="5" s="1"/>
  <c r="R16" i="5" s="1"/>
  <c r="E152" i="5"/>
  <c r="K151" i="5"/>
  <c r="Q151" i="5"/>
  <c r="Q64" i="5"/>
  <c r="K64" i="5"/>
  <c r="E65" i="5"/>
  <c r="K24" i="5"/>
  <c r="E25" i="5"/>
  <c r="Q24" i="5"/>
  <c r="E23" i="1"/>
  <c r="K22" i="1"/>
  <c r="Q22" i="1"/>
  <c r="O14" i="1"/>
  <c r="P14" i="1" s="1"/>
  <c r="R14" i="1" s="1"/>
  <c r="I15" i="1"/>
  <c r="J15" i="1" s="1"/>
  <c r="L15" i="1" s="1"/>
  <c r="T16" i="5"/>
  <c r="G152" i="5"/>
  <c r="S151" i="5"/>
  <c r="M151" i="5"/>
  <c r="G65" i="5"/>
  <c r="S64" i="5"/>
  <c r="M64" i="5"/>
  <c r="S24" i="5"/>
  <c r="M24" i="5"/>
  <c r="G25" i="5"/>
  <c r="G23" i="1"/>
  <c r="M22" i="1"/>
  <c r="S22" i="1"/>
  <c r="T14" i="1"/>
  <c r="N15" i="1"/>
  <c r="U16" i="5" l="1"/>
  <c r="V16" i="5" s="1"/>
  <c r="W17" i="5"/>
  <c r="F18" i="5" s="1"/>
  <c r="L17" i="5"/>
  <c r="Q152" i="5"/>
  <c r="K152" i="5"/>
  <c r="E153" i="5"/>
  <c r="K65" i="5"/>
  <c r="E66" i="5"/>
  <c r="Q65" i="5"/>
  <c r="E26" i="5"/>
  <c r="K25" i="5"/>
  <c r="Q25" i="5"/>
  <c r="E24" i="1"/>
  <c r="K23" i="1"/>
  <c r="Q23" i="1"/>
  <c r="O15" i="1"/>
  <c r="P15" i="1" s="1"/>
  <c r="R15" i="1" s="1"/>
  <c r="W15" i="1"/>
  <c r="F16" i="1" s="1"/>
  <c r="U14" i="1"/>
  <c r="V14" i="1" s="1"/>
  <c r="H18" i="5"/>
  <c r="N17" i="5"/>
  <c r="S152" i="5"/>
  <c r="M152" i="5"/>
  <c r="G153" i="5"/>
  <c r="G66" i="5"/>
  <c r="S65" i="5"/>
  <c r="M65" i="5"/>
  <c r="S25" i="5"/>
  <c r="G26" i="5"/>
  <c r="M25" i="5"/>
  <c r="G24" i="1"/>
  <c r="M23" i="1"/>
  <c r="S23" i="1"/>
  <c r="T15" i="1"/>
  <c r="H16" i="1"/>
  <c r="O17" i="5" l="1"/>
  <c r="P17" i="5" s="1"/>
  <c r="R17" i="5" s="1"/>
  <c r="I18" i="5"/>
  <c r="J18" i="5" s="1"/>
  <c r="W18" i="5" s="1"/>
  <c r="F19" i="5" s="1"/>
  <c r="E154" i="5"/>
  <c r="K153" i="5"/>
  <c r="Q153" i="5"/>
  <c r="K66" i="5"/>
  <c r="E67" i="5"/>
  <c r="Q66" i="5"/>
  <c r="E27" i="5"/>
  <c r="Q26" i="5"/>
  <c r="K26" i="5"/>
  <c r="E25" i="1"/>
  <c r="K24" i="1"/>
  <c r="Q24" i="1"/>
  <c r="I16" i="1"/>
  <c r="J16" i="1" s="1"/>
  <c r="W16" i="1" s="1"/>
  <c r="F17" i="1" s="1"/>
  <c r="U15" i="1"/>
  <c r="V15" i="1" s="1"/>
  <c r="T17" i="5"/>
  <c r="H19" i="5"/>
  <c r="S153" i="5"/>
  <c r="G154" i="5"/>
  <c r="M153" i="5"/>
  <c r="M66" i="5"/>
  <c r="G67" i="5"/>
  <c r="S66" i="5"/>
  <c r="G27" i="5"/>
  <c r="S26" i="5"/>
  <c r="M26" i="5"/>
  <c r="G25" i="1"/>
  <c r="M24" i="1"/>
  <c r="S24" i="1"/>
  <c r="H17" i="1"/>
  <c r="L18" i="5" l="1"/>
  <c r="O18" i="5" s="1"/>
  <c r="I19" i="5"/>
  <c r="J19" i="5" s="1"/>
  <c r="W19" i="5" s="1"/>
  <c r="F20" i="5" s="1"/>
  <c r="U17" i="5"/>
  <c r="V17" i="5" s="1"/>
  <c r="K154" i="5"/>
  <c r="Q154" i="5"/>
  <c r="E155" i="5"/>
  <c r="E68" i="5"/>
  <c r="Q67" i="5"/>
  <c r="K67" i="5"/>
  <c r="Q27" i="5"/>
  <c r="K27" i="5"/>
  <c r="E28" i="5"/>
  <c r="E26" i="1"/>
  <c r="K25" i="1"/>
  <c r="Q25" i="1"/>
  <c r="I17" i="1"/>
  <c r="J17" i="1" s="1"/>
  <c r="W17" i="1" s="1"/>
  <c r="F18" i="1" s="1"/>
  <c r="L16" i="1"/>
  <c r="N18" i="5"/>
  <c r="H20" i="5"/>
  <c r="M154" i="5"/>
  <c r="S154" i="5"/>
  <c r="G155" i="5"/>
  <c r="G68" i="5"/>
  <c r="S67" i="5"/>
  <c r="M67" i="5"/>
  <c r="G28" i="5"/>
  <c r="S27" i="5"/>
  <c r="M27" i="5"/>
  <c r="G26" i="1"/>
  <c r="M25" i="1"/>
  <c r="S25" i="1"/>
  <c r="H18" i="1"/>
  <c r="N16" i="1"/>
  <c r="L19" i="5" l="1"/>
  <c r="P18" i="5"/>
  <c r="R18" i="5" s="1"/>
  <c r="U18" i="5" s="1"/>
  <c r="I20" i="5"/>
  <c r="J20" i="5" s="1"/>
  <c r="O19" i="5"/>
  <c r="E156" i="5"/>
  <c r="Q155" i="5"/>
  <c r="K155" i="5"/>
  <c r="Q68" i="5"/>
  <c r="K68" i="5"/>
  <c r="E69" i="5"/>
  <c r="E29" i="5"/>
  <c r="K28" i="5"/>
  <c r="Q28" i="5"/>
  <c r="E27" i="1"/>
  <c r="K26" i="1"/>
  <c r="Q26" i="1"/>
  <c r="O16" i="1"/>
  <c r="P16" i="1" s="1"/>
  <c r="R16" i="1" s="1"/>
  <c r="L17" i="1"/>
  <c r="I18" i="1"/>
  <c r="J18" i="1" s="1"/>
  <c r="L18" i="1" s="1"/>
  <c r="N19" i="5"/>
  <c r="T18" i="5"/>
  <c r="G156" i="5"/>
  <c r="S155" i="5"/>
  <c r="M155" i="5"/>
  <c r="M68" i="5"/>
  <c r="G69" i="5"/>
  <c r="S68" i="5"/>
  <c r="M28" i="5"/>
  <c r="S28" i="5"/>
  <c r="G29" i="5"/>
  <c r="G27" i="1"/>
  <c r="M26" i="1"/>
  <c r="S26" i="1"/>
  <c r="T16" i="1"/>
  <c r="N17" i="1"/>
  <c r="N18" i="1"/>
  <c r="P19" i="5" l="1"/>
  <c r="R19" i="5" s="1"/>
  <c r="V18" i="5"/>
  <c r="W20" i="5"/>
  <c r="F21" i="5" s="1"/>
  <c r="L20" i="5"/>
  <c r="Q156" i="5"/>
  <c r="K156" i="5"/>
  <c r="E157" i="5"/>
  <c r="Q69" i="5"/>
  <c r="E70" i="5"/>
  <c r="K69" i="5"/>
  <c r="K29" i="5"/>
  <c r="Q29" i="5"/>
  <c r="E30" i="5"/>
  <c r="E28" i="1"/>
  <c r="K27" i="1"/>
  <c r="Q27" i="1"/>
  <c r="W18" i="1"/>
  <c r="F19" i="1" s="1"/>
  <c r="O18" i="1"/>
  <c r="P18" i="1" s="1"/>
  <c r="R18" i="1" s="1"/>
  <c r="O17" i="1"/>
  <c r="P17" i="1" s="1"/>
  <c r="R17" i="1" s="1"/>
  <c r="U16" i="1"/>
  <c r="V16" i="1" s="1"/>
  <c r="T19" i="5"/>
  <c r="H21" i="5"/>
  <c r="N20" i="5"/>
  <c r="S156" i="5"/>
  <c r="M156" i="5"/>
  <c r="G157" i="5"/>
  <c r="S69" i="5"/>
  <c r="G70" i="5"/>
  <c r="M69" i="5"/>
  <c r="S29" i="5"/>
  <c r="G30" i="5"/>
  <c r="M29" i="5"/>
  <c r="G28" i="1"/>
  <c r="M27" i="1"/>
  <c r="S27" i="1"/>
  <c r="H19" i="1"/>
  <c r="T18" i="1"/>
  <c r="T17" i="1"/>
  <c r="U19" i="5" l="1"/>
  <c r="V19" i="5" s="1"/>
  <c r="O20" i="5"/>
  <c r="P20" i="5" s="1"/>
  <c r="R20" i="5" s="1"/>
  <c r="I21" i="5"/>
  <c r="J21" i="5" s="1"/>
  <c r="L21" i="5" s="1"/>
  <c r="K157" i="5"/>
  <c r="E158" i="5"/>
  <c r="Q157" i="5"/>
  <c r="K70" i="5"/>
  <c r="Q70" i="5"/>
  <c r="E71" i="5"/>
  <c r="Q30" i="5"/>
  <c r="E31" i="5"/>
  <c r="K30" i="5"/>
  <c r="E29" i="1"/>
  <c r="K28" i="1"/>
  <c r="Q28" i="1"/>
  <c r="U17" i="1"/>
  <c r="V17" i="1" s="1"/>
  <c r="U18" i="1"/>
  <c r="V18" i="1" s="1"/>
  <c r="I19" i="1"/>
  <c r="J19" i="1" s="1"/>
  <c r="L19" i="1" s="1"/>
  <c r="T20" i="5"/>
  <c r="N21" i="5"/>
  <c r="G158" i="5"/>
  <c r="S157" i="5"/>
  <c r="M157" i="5"/>
  <c r="G71" i="5"/>
  <c r="M70" i="5"/>
  <c r="S70" i="5"/>
  <c r="G31" i="5"/>
  <c r="S30" i="5"/>
  <c r="M30" i="5"/>
  <c r="G29" i="1"/>
  <c r="M28" i="1"/>
  <c r="S28" i="1"/>
  <c r="N19" i="1"/>
  <c r="W21" i="5" l="1"/>
  <c r="F22" i="5" s="1"/>
  <c r="I22" i="5"/>
  <c r="O21" i="5"/>
  <c r="P21" i="5" s="1"/>
  <c r="R21" i="5" s="1"/>
  <c r="U20" i="5"/>
  <c r="V20" i="5" s="1"/>
  <c r="E159" i="5"/>
  <c r="Q158" i="5"/>
  <c r="K158" i="5"/>
  <c r="E72" i="5"/>
  <c r="Q71" i="5"/>
  <c r="K71" i="5"/>
  <c r="E32" i="5"/>
  <c r="K31" i="5"/>
  <c r="Q31" i="5"/>
  <c r="E30" i="1"/>
  <c r="K29" i="1"/>
  <c r="Q29" i="1"/>
  <c r="W19" i="1"/>
  <c r="F20" i="1" s="1"/>
  <c r="I20" i="1" s="1"/>
  <c r="O19" i="1"/>
  <c r="P19" i="1" s="1"/>
  <c r="R19" i="1" s="1"/>
  <c r="H22" i="5"/>
  <c r="T21" i="5"/>
  <c r="S158" i="5"/>
  <c r="G159" i="5"/>
  <c r="M158" i="5"/>
  <c r="G72" i="5"/>
  <c r="S71" i="5"/>
  <c r="M71" i="5"/>
  <c r="M31" i="5"/>
  <c r="S31" i="5"/>
  <c r="G32" i="5"/>
  <c r="G30" i="1"/>
  <c r="M29" i="1"/>
  <c r="S29" i="1"/>
  <c r="H20" i="1"/>
  <c r="T19" i="1"/>
  <c r="J22" i="5" l="1"/>
  <c r="U21" i="5"/>
  <c r="V21" i="5" s="1"/>
  <c r="E160" i="5"/>
  <c r="Q159" i="5"/>
  <c r="K159" i="5"/>
  <c r="Q72" i="5"/>
  <c r="K72" i="5"/>
  <c r="E73" i="5"/>
  <c r="K32" i="5"/>
  <c r="E33" i="5"/>
  <c r="Q32" i="5"/>
  <c r="E31" i="1"/>
  <c r="K30" i="1"/>
  <c r="Q30" i="1"/>
  <c r="J20" i="1"/>
  <c r="U19" i="1"/>
  <c r="V19" i="1" s="1"/>
  <c r="G160" i="5"/>
  <c r="S159" i="5"/>
  <c r="M159" i="5"/>
  <c r="S72" i="5"/>
  <c r="M72" i="5"/>
  <c r="G73" i="5"/>
  <c r="S32" i="5"/>
  <c r="M32" i="5"/>
  <c r="G33" i="5"/>
  <c r="G31" i="1"/>
  <c r="M30" i="1"/>
  <c r="S30" i="1"/>
  <c r="L22" i="5" l="1"/>
  <c r="W22" i="5"/>
  <c r="F23" i="5" s="1"/>
  <c r="Q160" i="5"/>
  <c r="K160" i="5"/>
  <c r="E161" i="5"/>
  <c r="K73" i="5"/>
  <c r="E74" i="5"/>
  <c r="Q73" i="5"/>
  <c r="E34" i="5"/>
  <c r="Q33" i="5"/>
  <c r="K33" i="5"/>
  <c r="E32" i="1"/>
  <c r="K31" i="1"/>
  <c r="Q31" i="1"/>
  <c r="L20" i="1"/>
  <c r="W20" i="1"/>
  <c r="F21" i="1" s="1"/>
  <c r="N22" i="5"/>
  <c r="H23" i="5"/>
  <c r="M160" i="5"/>
  <c r="S160" i="5"/>
  <c r="G161" i="5"/>
  <c r="G74" i="5"/>
  <c r="S73" i="5"/>
  <c r="M73" i="5"/>
  <c r="S33" i="5"/>
  <c r="G34" i="5"/>
  <c r="M33" i="5"/>
  <c r="G32" i="1"/>
  <c r="S31" i="1"/>
  <c r="M31" i="1"/>
  <c r="N20" i="1"/>
  <c r="H21" i="1"/>
  <c r="I23" i="5" l="1"/>
  <c r="J23" i="5" s="1"/>
  <c r="W23" i="5" s="1"/>
  <c r="F24" i="5" s="1"/>
  <c r="O22" i="5"/>
  <c r="P22" i="5" s="1"/>
  <c r="R22" i="5" s="1"/>
  <c r="E162" i="5"/>
  <c r="K161" i="5"/>
  <c r="Q161" i="5"/>
  <c r="K74" i="5"/>
  <c r="E75" i="5"/>
  <c r="Q74" i="5"/>
  <c r="Q34" i="5"/>
  <c r="K34" i="5"/>
  <c r="E35" i="5"/>
  <c r="E33" i="1"/>
  <c r="K32" i="1"/>
  <c r="Q32" i="1"/>
  <c r="I21" i="1"/>
  <c r="J21" i="1" s="1"/>
  <c r="L21" i="1" s="1"/>
  <c r="O20" i="1"/>
  <c r="P20" i="1" s="1"/>
  <c r="R20" i="1" s="1"/>
  <c r="T22" i="5"/>
  <c r="H24" i="5"/>
  <c r="S161" i="5"/>
  <c r="G162" i="5"/>
  <c r="M161" i="5"/>
  <c r="M74" i="5"/>
  <c r="G75" i="5"/>
  <c r="S74" i="5"/>
  <c r="M34" i="5"/>
  <c r="G35" i="5"/>
  <c r="S34" i="5"/>
  <c r="G33" i="1"/>
  <c r="M32" i="1"/>
  <c r="S32" i="1"/>
  <c r="N21" i="1"/>
  <c r="T20" i="1"/>
  <c r="L23" i="5" l="1"/>
  <c r="O23" i="5"/>
  <c r="I24" i="5"/>
  <c r="J24" i="5" s="1"/>
  <c r="W24" i="5" s="1"/>
  <c r="F25" i="5" s="1"/>
  <c r="U22" i="5"/>
  <c r="V22" i="5" s="1"/>
  <c r="K162" i="5"/>
  <c r="Q162" i="5"/>
  <c r="E163" i="5"/>
  <c r="E76" i="5"/>
  <c r="Q75" i="5"/>
  <c r="K75" i="5"/>
  <c r="Q35" i="5"/>
  <c r="K35" i="5"/>
  <c r="E36" i="5"/>
  <c r="W21" i="1"/>
  <c r="F22" i="1" s="1"/>
  <c r="I22" i="1" s="1"/>
  <c r="E34" i="1"/>
  <c r="K33" i="1"/>
  <c r="Q33" i="1"/>
  <c r="U20" i="1"/>
  <c r="V20" i="1" s="1"/>
  <c r="O21" i="1"/>
  <c r="P21" i="1" s="1"/>
  <c r="R21" i="1" s="1"/>
  <c r="N23" i="5"/>
  <c r="H25" i="5"/>
  <c r="M162" i="5"/>
  <c r="G163" i="5"/>
  <c r="S162" i="5"/>
  <c r="S75" i="5"/>
  <c r="M75" i="5"/>
  <c r="G76" i="5"/>
  <c r="S35" i="5"/>
  <c r="M35" i="5"/>
  <c r="G36" i="5"/>
  <c r="H22" i="1"/>
  <c r="G34" i="1"/>
  <c r="M33" i="1"/>
  <c r="S33" i="1"/>
  <c r="T21" i="1"/>
  <c r="P23" i="5" l="1"/>
  <c r="R23" i="5" s="1"/>
  <c r="U23" i="5" s="1"/>
  <c r="I25" i="5"/>
  <c r="J25" i="5" s="1"/>
  <c r="L25" i="5" s="1"/>
  <c r="L24" i="5"/>
  <c r="E164" i="5"/>
  <c r="Q163" i="5"/>
  <c r="K163" i="5"/>
  <c r="Q76" i="5"/>
  <c r="K76" i="5"/>
  <c r="E77" i="5"/>
  <c r="E37" i="5"/>
  <c r="K36" i="5"/>
  <c r="Q36" i="5"/>
  <c r="J22" i="1"/>
  <c r="L22" i="1" s="1"/>
  <c r="E35" i="1"/>
  <c r="K34" i="1"/>
  <c r="Q34" i="1"/>
  <c r="U21" i="1"/>
  <c r="V21" i="1" s="1"/>
  <c r="T23" i="5"/>
  <c r="N24" i="5"/>
  <c r="N25" i="5"/>
  <c r="G164" i="5"/>
  <c r="S163" i="5"/>
  <c r="M163" i="5"/>
  <c r="S76" i="5"/>
  <c r="M76" i="5"/>
  <c r="G77" i="5"/>
  <c r="M36" i="5"/>
  <c r="G37" i="5"/>
  <c r="S36" i="5"/>
  <c r="N22" i="1"/>
  <c r="G35" i="1"/>
  <c r="M34" i="1"/>
  <c r="S34" i="1"/>
  <c r="V23" i="5" l="1"/>
  <c r="O25" i="5"/>
  <c r="P25" i="5" s="1"/>
  <c r="R25" i="5" s="1"/>
  <c r="W25" i="5"/>
  <c r="F26" i="5" s="1"/>
  <c r="O24" i="5"/>
  <c r="P24" i="5" s="1"/>
  <c r="R24" i="5" s="1"/>
  <c r="Q164" i="5"/>
  <c r="K164" i="5"/>
  <c r="E165" i="5"/>
  <c r="K77" i="5"/>
  <c r="E78" i="5"/>
  <c r="Q77" i="5"/>
  <c r="K37" i="5"/>
  <c r="Q37" i="5"/>
  <c r="E38" i="5"/>
  <c r="U25" i="5"/>
  <c r="W22" i="1"/>
  <c r="F23" i="1" s="1"/>
  <c r="I23" i="1" s="1"/>
  <c r="O22" i="1"/>
  <c r="P22" i="1" s="1"/>
  <c r="R22" i="1" s="1"/>
  <c r="U22" i="1" s="1"/>
  <c r="E36" i="1"/>
  <c r="K35" i="1"/>
  <c r="Q35" i="1"/>
  <c r="T25" i="5"/>
  <c r="H26" i="5"/>
  <c r="T24" i="5"/>
  <c r="M164" i="5"/>
  <c r="G165" i="5"/>
  <c r="S164" i="5"/>
  <c r="M77" i="5"/>
  <c r="G78" i="5"/>
  <c r="S77" i="5"/>
  <c r="M37" i="5"/>
  <c r="G38" i="5"/>
  <c r="S37" i="5"/>
  <c r="T22" i="1"/>
  <c r="H23" i="1"/>
  <c r="M35" i="1"/>
  <c r="S35" i="1"/>
  <c r="G36" i="1"/>
  <c r="U24" i="5" l="1"/>
  <c r="V24" i="5" s="1"/>
  <c r="V25" i="5"/>
  <c r="I26" i="5"/>
  <c r="J26" i="5" s="1"/>
  <c r="L26" i="5" s="1"/>
  <c r="K165" i="5"/>
  <c r="E166" i="5"/>
  <c r="Q165" i="5"/>
  <c r="K78" i="5"/>
  <c r="Q78" i="5"/>
  <c r="E79" i="5"/>
  <c r="Q38" i="5"/>
  <c r="E39" i="5"/>
  <c r="K38" i="5"/>
  <c r="V22" i="1"/>
  <c r="J23" i="1"/>
  <c r="L23" i="1" s="1"/>
  <c r="O23" i="1" s="1"/>
  <c r="E37" i="1"/>
  <c r="K36" i="1"/>
  <c r="Q36" i="1"/>
  <c r="N26" i="5"/>
  <c r="M165" i="5"/>
  <c r="G166" i="5"/>
  <c r="S165" i="5"/>
  <c r="M78" i="5"/>
  <c r="S78" i="5"/>
  <c r="G79" i="5"/>
  <c r="G39" i="5"/>
  <c r="M38" i="5"/>
  <c r="S38" i="5"/>
  <c r="N23" i="1"/>
  <c r="M36" i="1"/>
  <c r="S36" i="1"/>
  <c r="G37" i="1"/>
  <c r="O26" i="5" l="1"/>
  <c r="P26" i="5" s="1"/>
  <c r="R26" i="5" s="1"/>
  <c r="W26" i="5"/>
  <c r="F27" i="5" s="1"/>
  <c r="E167" i="5"/>
  <c r="Q166" i="5"/>
  <c r="K166" i="5"/>
  <c r="E80" i="5"/>
  <c r="K79" i="5"/>
  <c r="Q79" i="5"/>
  <c r="W23" i="1"/>
  <c r="F24" i="1" s="1"/>
  <c r="K39" i="5"/>
  <c r="Q39" i="5"/>
  <c r="E40" i="5"/>
  <c r="P23" i="1"/>
  <c r="R23" i="1" s="1"/>
  <c r="U23" i="1" s="1"/>
  <c r="E38" i="1"/>
  <c r="K37" i="1"/>
  <c r="Q37" i="1"/>
  <c r="I24" i="1"/>
  <c r="T26" i="5"/>
  <c r="H27" i="5"/>
  <c r="G167" i="5"/>
  <c r="M166" i="5"/>
  <c r="S166" i="5"/>
  <c r="S79" i="5"/>
  <c r="G80" i="5"/>
  <c r="M79" i="5"/>
  <c r="S39" i="5"/>
  <c r="G40" i="5"/>
  <c r="H24" i="1"/>
  <c r="M39" i="5"/>
  <c r="T23" i="1"/>
  <c r="G38" i="1"/>
  <c r="M37" i="1"/>
  <c r="S37" i="1"/>
  <c r="I27" i="5" l="1"/>
  <c r="J27" i="5" s="1"/>
  <c r="U26" i="5"/>
  <c r="V26" i="5" s="1"/>
  <c r="E168" i="5"/>
  <c r="K167" i="5"/>
  <c r="Q167" i="5"/>
  <c r="Q80" i="5"/>
  <c r="E81" i="5"/>
  <c r="K80" i="5"/>
  <c r="J24" i="1"/>
  <c r="L24" i="1" s="1"/>
  <c r="K40" i="5"/>
  <c r="E41" i="5"/>
  <c r="Q40" i="5"/>
  <c r="V23" i="1"/>
  <c r="E39" i="1"/>
  <c r="K38" i="1"/>
  <c r="Q38" i="1"/>
  <c r="G168" i="5"/>
  <c r="M167" i="5"/>
  <c r="S167" i="5"/>
  <c r="S80" i="5"/>
  <c r="G81" i="5"/>
  <c r="M80" i="5"/>
  <c r="M40" i="5"/>
  <c r="G41" i="5"/>
  <c r="S40" i="5"/>
  <c r="G39" i="1"/>
  <c r="M38" i="1"/>
  <c r="S38" i="1"/>
  <c r="N24" i="1"/>
  <c r="W27" i="5" l="1"/>
  <c r="F28" i="5" s="1"/>
  <c r="L27" i="5"/>
  <c r="Q168" i="5"/>
  <c r="K168" i="5"/>
  <c r="E169" i="5"/>
  <c r="Q81" i="5"/>
  <c r="K81" i="5"/>
  <c r="E82" i="5"/>
  <c r="E42" i="5"/>
  <c r="Q41" i="5"/>
  <c r="K41" i="5"/>
  <c r="W24" i="1"/>
  <c r="F25" i="1" s="1"/>
  <c r="E40" i="1"/>
  <c r="K39" i="1"/>
  <c r="Q39" i="1"/>
  <c r="I25" i="1"/>
  <c r="O24" i="1"/>
  <c r="P24" i="1" s="1"/>
  <c r="R24" i="1" s="1"/>
  <c r="H28" i="5"/>
  <c r="N27" i="5"/>
  <c r="M168" i="5"/>
  <c r="G169" i="5"/>
  <c r="S168" i="5"/>
  <c r="M81" i="5"/>
  <c r="G82" i="5"/>
  <c r="S81" i="5"/>
  <c r="G42" i="5"/>
  <c r="S41" i="5"/>
  <c r="M41" i="5"/>
  <c r="H25" i="1"/>
  <c r="G40" i="1"/>
  <c r="M39" i="1"/>
  <c r="S39" i="1"/>
  <c r="T24" i="1"/>
  <c r="O27" i="5" l="1"/>
  <c r="P27" i="5" s="1"/>
  <c r="R27" i="5" s="1"/>
  <c r="I28" i="5"/>
  <c r="J28" i="5" s="1"/>
  <c r="L28" i="5" s="1"/>
  <c r="E170" i="5"/>
  <c r="K169" i="5"/>
  <c r="Q169" i="5"/>
  <c r="K82" i="5"/>
  <c r="E83" i="5"/>
  <c r="Q82" i="5"/>
  <c r="J25" i="1"/>
  <c r="L25" i="1" s="1"/>
  <c r="Q42" i="5"/>
  <c r="E43" i="5"/>
  <c r="K42" i="5"/>
  <c r="E41" i="1"/>
  <c r="K40" i="1"/>
  <c r="Q40" i="1"/>
  <c r="U24" i="1"/>
  <c r="V24" i="1" s="1"/>
  <c r="N28" i="5"/>
  <c r="T27" i="5"/>
  <c r="G170" i="5"/>
  <c r="M169" i="5"/>
  <c r="S169" i="5"/>
  <c r="S82" i="5"/>
  <c r="M82" i="5"/>
  <c r="G83" i="5"/>
  <c r="S42" i="5"/>
  <c r="G43" i="5"/>
  <c r="M42" i="5"/>
  <c r="M40" i="1"/>
  <c r="S40" i="1"/>
  <c r="G41" i="1"/>
  <c r="N25" i="1"/>
  <c r="W28" i="5" l="1"/>
  <c r="F29" i="5" s="1"/>
  <c r="U27" i="5"/>
  <c r="V27" i="5" s="1"/>
  <c r="O28" i="5"/>
  <c r="P28" i="5" s="1"/>
  <c r="R28" i="5" s="1"/>
  <c r="K170" i="5"/>
  <c r="Q170" i="5"/>
  <c r="E171" i="5"/>
  <c r="E84" i="5"/>
  <c r="Q83" i="5"/>
  <c r="K83" i="5"/>
  <c r="Q43" i="5"/>
  <c r="K43" i="5"/>
  <c r="E44" i="5"/>
  <c r="W25" i="1"/>
  <c r="F26" i="1" s="1"/>
  <c r="I26" i="1" s="1"/>
  <c r="E42" i="1"/>
  <c r="K41" i="1"/>
  <c r="Q41" i="1"/>
  <c r="O25" i="1"/>
  <c r="P25" i="1" s="1"/>
  <c r="R25" i="1" s="1"/>
  <c r="H29" i="5"/>
  <c r="T28" i="5"/>
  <c r="S170" i="5"/>
  <c r="G171" i="5"/>
  <c r="M170" i="5"/>
  <c r="G84" i="5"/>
  <c r="S83" i="5"/>
  <c r="M83" i="5"/>
  <c r="H26" i="1"/>
  <c r="S43" i="5"/>
  <c r="M43" i="5"/>
  <c r="G44" i="5"/>
  <c r="G42" i="1"/>
  <c r="M41" i="1"/>
  <c r="S41" i="1"/>
  <c r="T25" i="1"/>
  <c r="U28" i="5" l="1"/>
  <c r="V28" i="5" s="1"/>
  <c r="I29" i="5"/>
  <c r="J29" i="5" s="1"/>
  <c r="W29" i="5" s="1"/>
  <c r="F30" i="5" s="1"/>
  <c r="L29" i="5"/>
  <c r="E172" i="5"/>
  <c r="Q171" i="5"/>
  <c r="K171" i="5"/>
  <c r="Q84" i="5"/>
  <c r="E85" i="5"/>
  <c r="K84" i="5"/>
  <c r="J26" i="1"/>
  <c r="W26" i="1" s="1"/>
  <c r="F27" i="1" s="1"/>
  <c r="E45" i="5"/>
  <c r="K44" i="5"/>
  <c r="Q44" i="5"/>
  <c r="E43" i="1"/>
  <c r="K42" i="1"/>
  <c r="Q42" i="1"/>
  <c r="U25" i="1"/>
  <c r="V25" i="1" s="1"/>
  <c r="H30" i="5"/>
  <c r="N29" i="5"/>
  <c r="G172" i="5"/>
  <c r="S171" i="5"/>
  <c r="M171" i="5"/>
  <c r="S84" i="5"/>
  <c r="G85" i="5"/>
  <c r="M84" i="5"/>
  <c r="H27" i="1"/>
  <c r="G45" i="5"/>
  <c r="M44" i="5"/>
  <c r="S44" i="5"/>
  <c r="G43" i="1"/>
  <c r="M42" i="1"/>
  <c r="S42" i="1"/>
  <c r="L26" i="1" l="1"/>
  <c r="O29" i="5"/>
  <c r="P29" i="5" s="1"/>
  <c r="R29" i="5" s="1"/>
  <c r="I30" i="5"/>
  <c r="J30" i="5" s="1"/>
  <c r="W30" i="5" s="1"/>
  <c r="F31" i="5" s="1"/>
  <c r="Q172" i="5"/>
  <c r="K172" i="5"/>
  <c r="E173" i="5"/>
  <c r="Q85" i="5"/>
  <c r="E86" i="5"/>
  <c r="K85" i="5"/>
  <c r="K45" i="5"/>
  <c r="E46" i="5"/>
  <c r="Q45" i="5"/>
  <c r="I27" i="1"/>
  <c r="J27" i="1" s="1"/>
  <c r="L27" i="1" s="1"/>
  <c r="E44" i="1"/>
  <c r="K43" i="1"/>
  <c r="Q43" i="1"/>
  <c r="O26" i="1"/>
  <c r="N26" i="1"/>
  <c r="T29" i="5"/>
  <c r="H31" i="5"/>
  <c r="S172" i="5"/>
  <c r="M172" i="5"/>
  <c r="G173" i="5"/>
  <c r="M85" i="5"/>
  <c r="S85" i="5"/>
  <c r="G86" i="5"/>
  <c r="S45" i="5"/>
  <c r="M45" i="5"/>
  <c r="G46" i="5"/>
  <c r="G44" i="1"/>
  <c r="M43" i="1"/>
  <c r="S43" i="1"/>
  <c r="N27" i="1"/>
  <c r="W27" i="1" l="1"/>
  <c r="F28" i="1" s="1"/>
  <c r="P26" i="1"/>
  <c r="R26" i="1" s="1"/>
  <c r="L30" i="5"/>
  <c r="I31" i="5"/>
  <c r="J31" i="5" s="1"/>
  <c r="L31" i="5" s="1"/>
  <c r="U29" i="5"/>
  <c r="V29" i="5" s="1"/>
  <c r="K173" i="5"/>
  <c r="E174" i="5"/>
  <c r="Q173" i="5"/>
  <c r="K86" i="5"/>
  <c r="E87" i="5"/>
  <c r="Q86" i="5"/>
  <c r="Q46" i="5"/>
  <c r="E47" i="5"/>
  <c r="K46" i="5"/>
  <c r="E45" i="1"/>
  <c r="K44" i="1"/>
  <c r="Q44" i="1"/>
  <c r="U26" i="1"/>
  <c r="I28" i="1"/>
  <c r="O27" i="1"/>
  <c r="P27" i="1" s="1"/>
  <c r="R27" i="1" s="1"/>
  <c r="H28" i="1"/>
  <c r="T26" i="1"/>
  <c r="N30" i="5"/>
  <c r="N31" i="5"/>
  <c r="G174" i="5"/>
  <c r="S173" i="5"/>
  <c r="M173" i="5"/>
  <c r="M86" i="5"/>
  <c r="G87" i="5"/>
  <c r="S86" i="5"/>
  <c r="G47" i="5"/>
  <c r="M46" i="5"/>
  <c r="S46" i="5"/>
  <c r="G45" i="1"/>
  <c r="S44" i="1"/>
  <c r="M44" i="1"/>
  <c r="T27" i="1"/>
  <c r="J28" i="1" l="1"/>
  <c r="L28" i="1" s="1"/>
  <c r="V26" i="1"/>
  <c r="W31" i="5"/>
  <c r="F32" i="5" s="1"/>
  <c r="O31" i="5"/>
  <c r="P31" i="5" s="1"/>
  <c r="R31" i="5" s="1"/>
  <c r="O30" i="5"/>
  <c r="P30" i="5" s="1"/>
  <c r="R30" i="5" s="1"/>
  <c r="E175" i="5"/>
  <c r="Q174" i="5"/>
  <c r="K174" i="5"/>
  <c r="E88" i="5"/>
  <c r="K87" i="5"/>
  <c r="Q87" i="5"/>
  <c r="Q47" i="5"/>
  <c r="E48" i="5"/>
  <c r="K47" i="5"/>
  <c r="E46" i="1"/>
  <c r="K45" i="1"/>
  <c r="Q45" i="1"/>
  <c r="W28" i="1"/>
  <c r="F29" i="1" s="1"/>
  <c r="I29" i="1" s="1"/>
  <c r="U27" i="1"/>
  <c r="V27" i="1" s="1"/>
  <c r="O28" i="1"/>
  <c r="N28" i="1"/>
  <c r="H32" i="5"/>
  <c r="T31" i="5"/>
  <c r="T30" i="5"/>
  <c r="G175" i="5"/>
  <c r="M174" i="5"/>
  <c r="S174" i="5"/>
  <c r="G88" i="5"/>
  <c r="M87" i="5"/>
  <c r="S87" i="5"/>
  <c r="S47" i="5"/>
  <c r="G48" i="5"/>
  <c r="M47" i="5"/>
  <c r="G46" i="1"/>
  <c r="S45" i="1"/>
  <c r="M45" i="1"/>
  <c r="H29" i="1"/>
  <c r="P28" i="1" l="1"/>
  <c r="R28" i="1" s="1"/>
  <c r="U30" i="5"/>
  <c r="V30" i="5" s="1"/>
  <c r="U31" i="5"/>
  <c r="V31" i="5" s="1"/>
  <c r="I32" i="5"/>
  <c r="J32" i="5" s="1"/>
  <c r="W32" i="5" s="1"/>
  <c r="F33" i="5" s="1"/>
  <c r="E176" i="5"/>
  <c r="Q175" i="5"/>
  <c r="K175" i="5"/>
  <c r="Q88" i="5"/>
  <c r="E89" i="5"/>
  <c r="K88" i="5"/>
  <c r="K48" i="5"/>
  <c r="Q48" i="5"/>
  <c r="E49" i="5"/>
  <c r="E47" i="1"/>
  <c r="K46" i="1"/>
  <c r="Q46" i="1"/>
  <c r="J29" i="1"/>
  <c r="L29" i="1" s="1"/>
  <c r="O29" i="1" s="1"/>
  <c r="U28" i="1"/>
  <c r="T28" i="1"/>
  <c r="H33" i="5"/>
  <c r="G176" i="5"/>
  <c r="S175" i="5"/>
  <c r="M175" i="5"/>
  <c r="M88" i="5"/>
  <c r="S88" i="5"/>
  <c r="G89" i="5"/>
  <c r="M48" i="5"/>
  <c r="S48" i="5"/>
  <c r="G49" i="5"/>
  <c r="G47" i="1"/>
  <c r="M46" i="1"/>
  <c r="S46" i="1"/>
  <c r="N29" i="1"/>
  <c r="V28" i="1" l="1"/>
  <c r="L32" i="5"/>
  <c r="I33" i="5"/>
  <c r="J33" i="5" s="1"/>
  <c r="L33" i="5" s="1"/>
  <c r="Q176" i="5"/>
  <c r="K176" i="5"/>
  <c r="E177" i="5"/>
  <c r="E90" i="5"/>
  <c r="K89" i="5"/>
  <c r="Q89" i="5"/>
  <c r="E50" i="5"/>
  <c r="K49" i="5"/>
  <c r="Q49" i="5"/>
  <c r="E48" i="1"/>
  <c r="K47" i="1"/>
  <c r="Q47" i="1"/>
  <c r="P29" i="1"/>
  <c r="R29" i="1" s="1"/>
  <c r="W29" i="1"/>
  <c r="F30" i="1" s="1"/>
  <c r="I30" i="1" s="1"/>
  <c r="N32" i="5"/>
  <c r="N33" i="5"/>
  <c r="S176" i="5"/>
  <c r="M176" i="5"/>
  <c r="G177" i="5"/>
  <c r="G90" i="5"/>
  <c r="M89" i="5"/>
  <c r="S89" i="5"/>
  <c r="M49" i="5"/>
  <c r="S49" i="5"/>
  <c r="G50" i="5"/>
  <c r="G48" i="1"/>
  <c r="M47" i="1"/>
  <c r="S47" i="1"/>
  <c r="H30" i="1"/>
  <c r="T29" i="1"/>
  <c r="W33" i="5" l="1"/>
  <c r="F34" i="5" s="1"/>
  <c r="O32" i="5"/>
  <c r="P32" i="5" s="1"/>
  <c r="R32" i="5" s="1"/>
  <c r="O33" i="5"/>
  <c r="P33" i="5" s="1"/>
  <c r="R33" i="5" s="1"/>
  <c r="E178" i="5"/>
  <c r="K177" i="5"/>
  <c r="Q177" i="5"/>
  <c r="K90" i="5"/>
  <c r="Q90" i="5"/>
  <c r="E91" i="5"/>
  <c r="E51" i="5"/>
  <c r="K50" i="5"/>
  <c r="Q50" i="5"/>
  <c r="E49" i="1"/>
  <c r="K48" i="1"/>
  <c r="Q48" i="1"/>
  <c r="U29" i="1"/>
  <c r="V29" i="1" s="1"/>
  <c r="J30" i="1"/>
  <c r="H34" i="5"/>
  <c r="T32" i="5"/>
  <c r="T33" i="5"/>
  <c r="G178" i="5"/>
  <c r="M177" i="5"/>
  <c r="S177" i="5"/>
  <c r="S90" i="5"/>
  <c r="G91" i="5"/>
  <c r="M90" i="5"/>
  <c r="G51" i="5"/>
  <c r="S50" i="5"/>
  <c r="M50" i="5"/>
  <c r="G49" i="1"/>
  <c r="M48" i="1"/>
  <c r="S48" i="1"/>
  <c r="U32" i="5" l="1"/>
  <c r="V32" i="5" s="1"/>
  <c r="I34" i="5"/>
  <c r="J34" i="5" s="1"/>
  <c r="L34" i="5" s="1"/>
  <c r="U33" i="5"/>
  <c r="V33" i="5" s="1"/>
  <c r="O34" i="5"/>
  <c r="K178" i="5"/>
  <c r="Q178" i="5"/>
  <c r="E179" i="5"/>
  <c r="E92" i="5"/>
  <c r="K91" i="5"/>
  <c r="Q91" i="5"/>
  <c r="Q51" i="5"/>
  <c r="E52" i="5"/>
  <c r="K51" i="5"/>
  <c r="E50" i="1"/>
  <c r="K49" i="1"/>
  <c r="Q49" i="1"/>
  <c r="W30" i="1"/>
  <c r="F31" i="1" s="1"/>
  <c r="L30" i="1"/>
  <c r="N34" i="5"/>
  <c r="M178" i="5"/>
  <c r="S178" i="5"/>
  <c r="G179" i="5"/>
  <c r="S91" i="5"/>
  <c r="G92" i="5"/>
  <c r="M91" i="5"/>
  <c r="S51" i="5"/>
  <c r="G52" i="5"/>
  <c r="M51" i="5"/>
  <c r="G50" i="1"/>
  <c r="M49" i="1"/>
  <c r="S49" i="1"/>
  <c r="H31" i="1"/>
  <c r="N30" i="1"/>
  <c r="W34" i="5" l="1"/>
  <c r="F35" i="5" s="1"/>
  <c r="P34" i="5"/>
  <c r="R34" i="5" s="1"/>
  <c r="Q179" i="5"/>
  <c r="K179" i="5"/>
  <c r="E180" i="5"/>
  <c r="Q92" i="5"/>
  <c r="K92" i="5"/>
  <c r="E93" i="5"/>
  <c r="Q52" i="5"/>
  <c r="K52" i="5"/>
  <c r="E51" i="1"/>
  <c r="K50" i="1"/>
  <c r="Q50" i="1"/>
  <c r="O30" i="1"/>
  <c r="P30" i="1" s="1"/>
  <c r="R30" i="1" s="1"/>
  <c r="I31" i="1"/>
  <c r="J31" i="1" s="1"/>
  <c r="L31" i="1" s="1"/>
  <c r="H35" i="5"/>
  <c r="T34" i="5"/>
  <c r="M179" i="5"/>
  <c r="S179" i="5"/>
  <c r="G180" i="5"/>
  <c r="S92" i="5"/>
  <c r="M92" i="5"/>
  <c r="G93" i="5"/>
  <c r="S52" i="5"/>
  <c r="M52" i="5"/>
  <c r="G51" i="1"/>
  <c r="M50" i="1"/>
  <c r="S50" i="1"/>
  <c r="T30" i="1"/>
  <c r="N31" i="1"/>
  <c r="I35" i="5" l="1"/>
  <c r="J35" i="5" s="1"/>
  <c r="W35" i="5" s="1"/>
  <c r="F36" i="5" s="1"/>
  <c r="U34" i="5"/>
  <c r="V34" i="5" s="1"/>
  <c r="I36" i="5"/>
  <c r="L35" i="5"/>
  <c r="O35" i="5" s="1"/>
  <c r="E181" i="5"/>
  <c r="K180" i="5"/>
  <c r="Q180" i="5"/>
  <c r="K93" i="5"/>
  <c r="Q93" i="5"/>
  <c r="E94" i="5"/>
  <c r="E52" i="1"/>
  <c r="K51" i="1"/>
  <c r="Q51" i="1"/>
  <c r="O31" i="1"/>
  <c r="P31" i="1" s="1"/>
  <c r="R31" i="1" s="1"/>
  <c r="U30" i="1"/>
  <c r="V30" i="1" s="1"/>
  <c r="W31" i="1"/>
  <c r="F32" i="1" s="1"/>
  <c r="H36" i="5"/>
  <c r="N35" i="5"/>
  <c r="J36" i="5" l="1"/>
  <c r="W36" i="5" s="1"/>
  <c r="F37" i="5" s="1"/>
  <c r="H37" i="5"/>
  <c r="G181" i="5"/>
  <c r="M180" i="5"/>
  <c r="S180" i="5"/>
  <c r="M93" i="5"/>
  <c r="S93" i="5"/>
  <c r="G94" i="5"/>
  <c r="G52" i="1"/>
  <c r="M51" i="1"/>
  <c r="S51" i="1"/>
  <c r="H32" i="1"/>
  <c r="T31" i="1"/>
  <c r="L36" i="5" l="1"/>
  <c r="I37" i="5"/>
  <c r="J37" i="5" s="1"/>
  <c r="L37" i="5" s="1"/>
  <c r="P35" i="5"/>
  <c r="R35" i="5" s="1"/>
  <c r="U35" i="5" s="1"/>
  <c r="E182" i="5"/>
  <c r="Q181" i="5"/>
  <c r="K181" i="5"/>
  <c r="Q94" i="5"/>
  <c r="K94" i="5"/>
  <c r="E95" i="5"/>
  <c r="K52" i="1"/>
  <c r="Q52" i="1"/>
  <c r="U31" i="1"/>
  <c r="V31" i="1" s="1"/>
  <c r="I32" i="1"/>
  <c r="J32" i="1" s="1"/>
  <c r="L32" i="1" s="1"/>
  <c r="N36" i="5"/>
  <c r="T35" i="5"/>
  <c r="N37" i="5"/>
  <c r="O36" i="5" l="1"/>
  <c r="P36" i="5" s="1"/>
  <c r="R36" i="5" s="1"/>
  <c r="T36" i="5"/>
  <c r="M181" i="5"/>
  <c r="G182" i="5"/>
  <c r="S181" i="5"/>
  <c r="S94" i="5"/>
  <c r="M94" i="5"/>
  <c r="G95" i="5"/>
  <c r="M52" i="1"/>
  <c r="S52" i="1"/>
  <c r="N32" i="1"/>
  <c r="U36" i="5" l="1"/>
  <c r="V36" i="5" s="1"/>
  <c r="W37" i="5"/>
  <c r="F38" i="5" s="1"/>
  <c r="O37" i="5"/>
  <c r="P37" i="5" s="1"/>
  <c r="R37" i="5" s="1"/>
  <c r="U37" i="5" s="1"/>
  <c r="V35" i="5"/>
  <c r="Q182" i="5"/>
  <c r="E183" i="5"/>
  <c r="K182" i="5"/>
  <c r="Q95" i="5"/>
  <c r="E96" i="5"/>
  <c r="K95" i="5"/>
  <c r="O32" i="1"/>
  <c r="P32" i="1" s="1"/>
  <c r="R32" i="1" s="1"/>
  <c r="W32" i="1"/>
  <c r="F33" i="1" s="1"/>
  <c r="T37" i="5"/>
  <c r="H38" i="5"/>
  <c r="G183" i="5"/>
  <c r="S182" i="5"/>
  <c r="M182" i="5"/>
  <c r="S95" i="5"/>
  <c r="G96" i="5"/>
  <c r="M95" i="5"/>
  <c r="T32" i="1"/>
  <c r="H33" i="1"/>
  <c r="I38" i="5" l="1"/>
  <c r="J38" i="5" s="1"/>
  <c r="W38" i="5" s="1"/>
  <c r="F39" i="5" s="1"/>
  <c r="V37" i="5"/>
  <c r="K183" i="5"/>
  <c r="Q183" i="5"/>
  <c r="E184" i="5"/>
  <c r="Q96" i="5"/>
  <c r="E97" i="5"/>
  <c r="K96" i="5"/>
  <c r="I33" i="1"/>
  <c r="J33" i="1" s="1"/>
  <c r="L33" i="1" s="1"/>
  <c r="U32" i="1"/>
  <c r="V32" i="1" s="1"/>
  <c r="H39" i="5"/>
  <c r="S183" i="5"/>
  <c r="G184" i="5"/>
  <c r="M183" i="5"/>
  <c r="S96" i="5"/>
  <c r="M96" i="5"/>
  <c r="G97" i="5"/>
  <c r="N33" i="1"/>
  <c r="L38" i="5" l="1"/>
  <c r="I39" i="5"/>
  <c r="J39" i="5" s="1"/>
  <c r="W39" i="5" s="1"/>
  <c r="F40" i="5" s="1"/>
  <c r="E185" i="5"/>
  <c r="Q184" i="5"/>
  <c r="K184" i="5"/>
  <c r="Q97" i="5"/>
  <c r="E98" i="5"/>
  <c r="K97" i="5"/>
  <c r="W33" i="1"/>
  <c r="F34" i="1" s="1"/>
  <c r="I34" i="1" s="1"/>
  <c r="O33" i="1"/>
  <c r="P33" i="1" s="1"/>
  <c r="R33" i="1" s="1"/>
  <c r="N38" i="5"/>
  <c r="H40" i="5"/>
  <c r="L39" i="5" l="1"/>
  <c r="G185" i="5"/>
  <c r="S184" i="5"/>
  <c r="M184" i="5"/>
  <c r="N39" i="5"/>
  <c r="M97" i="5"/>
  <c r="S97" i="5"/>
  <c r="G98" i="5"/>
  <c r="H34" i="1"/>
  <c r="T33" i="1"/>
  <c r="O39" i="5" l="1"/>
  <c r="P39" i="5" s="1"/>
  <c r="R39" i="5" s="1"/>
  <c r="U39" i="5" s="1"/>
  <c r="I40" i="5"/>
  <c r="J40" i="5" s="1"/>
  <c r="L40" i="5" s="1"/>
  <c r="O38" i="5"/>
  <c r="P38" i="5" s="1"/>
  <c r="R38" i="5" s="1"/>
  <c r="Q185" i="5"/>
  <c r="E186" i="5"/>
  <c r="K185" i="5"/>
  <c r="E99" i="5"/>
  <c r="Q98" i="5"/>
  <c r="K98" i="5"/>
  <c r="J34" i="1"/>
  <c r="L34" i="1" s="1"/>
  <c r="O34" i="1" s="1"/>
  <c r="U33" i="1"/>
  <c r="V33" i="1" s="1"/>
  <c r="T39" i="5"/>
  <c r="T38" i="5"/>
  <c r="N40" i="5"/>
  <c r="M185" i="5"/>
  <c r="S185" i="5"/>
  <c r="G186" i="5"/>
  <c r="S98" i="5"/>
  <c r="M98" i="5"/>
  <c r="G99" i="5"/>
  <c r="N34" i="1"/>
  <c r="V39" i="5" l="1"/>
  <c r="W40" i="5"/>
  <c r="F41" i="5" s="1"/>
  <c r="U38" i="5"/>
  <c r="V38" i="5" s="1"/>
  <c r="O40" i="5"/>
  <c r="P40" i="5" s="1"/>
  <c r="R40" i="5" s="1"/>
  <c r="I41" i="5"/>
  <c r="Q186" i="5"/>
  <c r="K186" i="5"/>
  <c r="E187" i="5"/>
  <c r="K99" i="5"/>
  <c r="Q99" i="5"/>
  <c r="E100" i="5"/>
  <c r="P34" i="1"/>
  <c r="R34" i="1" s="1"/>
  <c r="U34" i="1" s="1"/>
  <c r="W34" i="1"/>
  <c r="F35" i="1" s="1"/>
  <c r="H41" i="5"/>
  <c r="T40" i="5"/>
  <c r="S186" i="5"/>
  <c r="M186" i="5"/>
  <c r="G187" i="5"/>
  <c r="S99" i="5"/>
  <c r="M99" i="5"/>
  <c r="G100" i="5"/>
  <c r="T34" i="1"/>
  <c r="H35" i="1"/>
  <c r="J41" i="5" l="1"/>
  <c r="W41" i="5" s="1"/>
  <c r="F42" i="5" s="1"/>
  <c r="U40" i="5"/>
  <c r="V40" i="5" s="1"/>
  <c r="K187" i="5"/>
  <c r="E188" i="5"/>
  <c r="Q187" i="5"/>
  <c r="E101" i="5"/>
  <c r="Q100" i="5"/>
  <c r="K100" i="5"/>
  <c r="I35" i="1"/>
  <c r="J35" i="1" s="1"/>
  <c r="L35" i="1" s="1"/>
  <c r="O35" i="1" s="1"/>
  <c r="V34" i="1"/>
  <c r="H42" i="5"/>
  <c r="L41" i="5" l="1"/>
  <c r="N41" i="5"/>
  <c r="G188" i="5"/>
  <c r="M187" i="5"/>
  <c r="S187" i="5"/>
  <c r="G101" i="5"/>
  <c r="S100" i="5"/>
  <c r="M100" i="5"/>
  <c r="N35" i="1"/>
  <c r="I42" i="5" l="1"/>
  <c r="J42" i="5" s="1"/>
  <c r="L42" i="5" s="1"/>
  <c r="O41" i="5"/>
  <c r="P41" i="5" s="1"/>
  <c r="R41" i="5" s="1"/>
  <c r="E189" i="5"/>
  <c r="K188" i="5"/>
  <c r="Q188" i="5"/>
  <c r="E102" i="5"/>
  <c r="K101" i="5"/>
  <c r="Q101" i="5"/>
  <c r="W35" i="1"/>
  <c r="F36" i="1" s="1"/>
  <c r="P35" i="1"/>
  <c r="R35" i="1" s="1"/>
  <c r="U35" i="1" s="1"/>
  <c r="T41" i="5"/>
  <c r="N42" i="5"/>
  <c r="S188" i="5"/>
  <c r="M188" i="5"/>
  <c r="G189" i="5"/>
  <c r="G102" i="5"/>
  <c r="M101" i="5"/>
  <c r="S101" i="5"/>
  <c r="H36" i="1"/>
  <c r="T35" i="1"/>
  <c r="O42" i="5" l="1"/>
  <c r="P42" i="5" s="1"/>
  <c r="R42" i="5" s="1"/>
  <c r="U41" i="5"/>
  <c r="V41" i="5" s="1"/>
  <c r="W42" i="5"/>
  <c r="F43" i="5" s="1"/>
  <c r="E190" i="5"/>
  <c r="Q189" i="5"/>
  <c r="K189" i="5"/>
  <c r="E103" i="5"/>
  <c r="Q102" i="5"/>
  <c r="K102" i="5"/>
  <c r="I36" i="1"/>
  <c r="J36" i="1" s="1"/>
  <c r="L36" i="1" s="1"/>
  <c r="V35" i="1"/>
  <c r="T42" i="5"/>
  <c r="H43" i="5"/>
  <c r="G190" i="5"/>
  <c r="S189" i="5"/>
  <c r="M189" i="5"/>
  <c r="M102" i="5"/>
  <c r="G103" i="5"/>
  <c r="S102" i="5"/>
  <c r="N36" i="1"/>
  <c r="W36" i="1" l="1"/>
  <c r="F37" i="1" s="1"/>
  <c r="I43" i="5"/>
  <c r="J43" i="5" s="1"/>
  <c r="L43" i="5" s="1"/>
  <c r="U42" i="5"/>
  <c r="V42" i="5" s="1"/>
  <c r="Q190" i="5"/>
  <c r="K190" i="5"/>
  <c r="E191" i="5"/>
  <c r="Q103" i="5"/>
  <c r="E104" i="5"/>
  <c r="K103" i="5"/>
  <c r="O36" i="1"/>
  <c r="P36" i="1" s="1"/>
  <c r="R36" i="1" s="1"/>
  <c r="U36" i="1" s="1"/>
  <c r="H37" i="1"/>
  <c r="N43" i="5"/>
  <c r="I37" i="1" l="1"/>
  <c r="J37" i="1" s="1"/>
  <c r="L37" i="1" s="1"/>
  <c r="O37" i="1" s="1"/>
  <c r="W43" i="5"/>
  <c r="F44" i="5" s="1"/>
  <c r="H44" i="5"/>
  <c r="M190" i="5"/>
  <c r="S190" i="5"/>
  <c r="G191" i="5"/>
  <c r="S103" i="5"/>
  <c r="G104" i="5"/>
  <c r="M103" i="5"/>
  <c r="T36" i="1"/>
  <c r="N37" i="1"/>
  <c r="I44" i="5" l="1"/>
  <c r="J44" i="5" s="1"/>
  <c r="W44" i="5" s="1"/>
  <c r="F45" i="5" s="1"/>
  <c r="L44" i="5"/>
  <c r="O43" i="5"/>
  <c r="P43" i="5" s="1"/>
  <c r="R43" i="5" s="1"/>
  <c r="K191" i="5"/>
  <c r="E192" i="5"/>
  <c r="Q191" i="5"/>
  <c r="Q104" i="5"/>
  <c r="E105" i="5"/>
  <c r="K104" i="5"/>
  <c r="V36" i="1"/>
  <c r="W37" i="1"/>
  <c r="F38" i="1" s="1"/>
  <c r="P37" i="1"/>
  <c r="R37" i="1" s="1"/>
  <c r="U37" i="1" s="1"/>
  <c r="H45" i="5"/>
  <c r="N44" i="5"/>
  <c r="T43" i="5"/>
  <c r="M191" i="5"/>
  <c r="G192" i="5"/>
  <c r="S191" i="5"/>
  <c r="G105" i="5"/>
  <c r="S104" i="5"/>
  <c r="M104" i="5"/>
  <c r="H38" i="1"/>
  <c r="T37" i="1"/>
  <c r="U43" i="5" l="1"/>
  <c r="V43" i="5" s="1"/>
  <c r="O44" i="5"/>
  <c r="P44" i="5" s="1"/>
  <c r="R44" i="5" s="1"/>
  <c r="I45" i="5"/>
  <c r="J45" i="5" s="1"/>
  <c r="L45" i="5" s="1"/>
  <c r="E193" i="5"/>
  <c r="Q192" i="5"/>
  <c r="K192" i="5"/>
  <c r="K105" i="5"/>
  <c r="Q105" i="5"/>
  <c r="E106" i="5"/>
  <c r="I38" i="1"/>
  <c r="J38" i="1" s="1"/>
  <c r="W38" i="1" s="1"/>
  <c r="F39" i="1" s="1"/>
  <c r="V37" i="1"/>
  <c r="L38" i="1"/>
  <c r="O38" i="1" s="1"/>
  <c r="I39" i="1"/>
  <c r="N45" i="5"/>
  <c r="T44" i="5"/>
  <c r="W45" i="5" l="1"/>
  <c r="F46" i="5" s="1"/>
  <c r="H46" i="5"/>
  <c r="G193" i="5"/>
  <c r="M192" i="5"/>
  <c r="S192" i="5"/>
  <c r="G106" i="5"/>
  <c r="M105" i="5"/>
  <c r="S105" i="5"/>
  <c r="H39" i="1"/>
  <c r="N38" i="1"/>
  <c r="U44" i="5" l="1"/>
  <c r="V44" i="5" s="1"/>
  <c r="O45" i="5"/>
  <c r="P45" i="5" s="1"/>
  <c r="R45" i="5" s="1"/>
  <c r="I46" i="5"/>
  <c r="J46" i="5" s="1"/>
  <c r="Q193" i="5"/>
  <c r="E194" i="5"/>
  <c r="K193" i="5"/>
  <c r="Q106" i="5"/>
  <c r="K106" i="5"/>
  <c r="E107" i="5"/>
  <c r="J39" i="1"/>
  <c r="P38" i="1"/>
  <c r="R38" i="1" s="1"/>
  <c r="W39" i="1"/>
  <c r="F40" i="1" s="1"/>
  <c r="L39" i="1"/>
  <c r="T45" i="5"/>
  <c r="G194" i="5"/>
  <c r="S193" i="5"/>
  <c r="M193" i="5"/>
  <c r="G107" i="5"/>
  <c r="S106" i="5"/>
  <c r="M106" i="5"/>
  <c r="T38" i="1"/>
  <c r="H40" i="1"/>
  <c r="N39" i="1"/>
  <c r="U45" i="5" l="1"/>
  <c r="V45" i="5" s="1"/>
  <c r="W46" i="5"/>
  <c r="F47" i="5" s="1"/>
  <c r="L46" i="5"/>
  <c r="Q194" i="5"/>
  <c r="K194" i="5"/>
  <c r="E195" i="5"/>
  <c r="E108" i="5"/>
  <c r="Q107" i="5"/>
  <c r="K107" i="5"/>
  <c r="U38" i="1"/>
  <c r="V38" i="1" s="1"/>
  <c r="O39" i="1"/>
  <c r="P39" i="1" s="1"/>
  <c r="R39" i="1" s="1"/>
  <c r="I40" i="1"/>
  <c r="J40" i="1" s="1"/>
  <c r="N46" i="5"/>
  <c r="H47" i="5"/>
  <c r="S194" i="5"/>
  <c r="M194" i="5"/>
  <c r="G195" i="5"/>
  <c r="G108" i="5"/>
  <c r="S107" i="5"/>
  <c r="M107" i="5"/>
  <c r="T39" i="1"/>
  <c r="I47" i="5" l="1"/>
  <c r="J47" i="5" s="1"/>
  <c r="W47" i="5" s="1"/>
  <c r="F48" i="5" s="1"/>
  <c r="O46" i="5"/>
  <c r="P46" i="5" s="1"/>
  <c r="R46" i="5" s="1"/>
  <c r="K195" i="5"/>
  <c r="E196" i="5"/>
  <c r="Q195" i="5"/>
  <c r="K108" i="5"/>
  <c r="Q108" i="5"/>
  <c r="E109" i="5"/>
  <c r="W40" i="1"/>
  <c r="F41" i="1" s="1"/>
  <c r="L40" i="1"/>
  <c r="U39" i="1"/>
  <c r="V39" i="1" s="1"/>
  <c r="T46" i="5"/>
  <c r="H48" i="5"/>
  <c r="M195" i="5"/>
  <c r="S195" i="5"/>
  <c r="G196" i="5"/>
  <c r="M108" i="5"/>
  <c r="S108" i="5"/>
  <c r="G109" i="5"/>
  <c r="H41" i="1"/>
  <c r="N40" i="1"/>
  <c r="L47" i="5" l="1"/>
  <c r="I48" i="5"/>
  <c r="J48" i="5" s="1"/>
  <c r="L48" i="5" s="1"/>
  <c r="U46" i="5"/>
  <c r="V46" i="5" s="1"/>
  <c r="E197" i="5"/>
  <c r="E198" i="5" s="1"/>
  <c r="K196" i="5"/>
  <c r="Q196" i="5"/>
  <c r="E110" i="5"/>
  <c r="K109" i="5"/>
  <c r="Q109" i="5"/>
  <c r="O40" i="1"/>
  <c r="P40" i="1" s="1"/>
  <c r="R40" i="1" s="1"/>
  <c r="I41" i="1"/>
  <c r="J41" i="1" s="1"/>
  <c r="L41" i="1" s="1"/>
  <c r="G198" i="5"/>
  <c r="N47" i="5"/>
  <c r="N48" i="5"/>
  <c r="Q198" i="5" l="1"/>
  <c r="K198" i="5"/>
  <c r="E199" i="5"/>
  <c r="S198" i="5"/>
  <c r="M198" i="5"/>
  <c r="G199" i="5"/>
  <c r="G197" i="5"/>
  <c r="M196" i="5"/>
  <c r="S196" i="5"/>
  <c r="G110" i="5"/>
  <c r="M109" i="5"/>
  <c r="S109" i="5"/>
  <c r="T40" i="1"/>
  <c r="N41" i="1"/>
  <c r="K199" i="5" l="1"/>
  <c r="Q199" i="5"/>
  <c r="E200" i="5"/>
  <c r="W48" i="5"/>
  <c r="F49" i="5" s="1"/>
  <c r="O47" i="5"/>
  <c r="P47" i="5" s="1"/>
  <c r="R47" i="5" s="1"/>
  <c r="O48" i="5"/>
  <c r="P48" i="5" s="1"/>
  <c r="R48" i="5" s="1"/>
  <c r="U48" i="5" s="1"/>
  <c r="I49" i="5"/>
  <c r="Q197" i="5"/>
  <c r="K197" i="5"/>
  <c r="K110" i="5"/>
  <c r="Q110" i="5"/>
  <c r="E111" i="5"/>
  <c r="W41" i="1"/>
  <c r="F42" i="1" s="1"/>
  <c r="I42" i="1" s="1"/>
  <c r="O41" i="1"/>
  <c r="P41" i="1" s="1"/>
  <c r="R41" i="1" s="1"/>
  <c r="U40" i="1"/>
  <c r="V40" i="1" s="1"/>
  <c r="M199" i="5"/>
  <c r="S199" i="5"/>
  <c r="G200" i="5"/>
  <c r="H49" i="5"/>
  <c r="T47" i="5"/>
  <c r="T48" i="5"/>
  <c r="K200" i="5" l="1"/>
  <c r="Q200" i="5"/>
  <c r="E201" i="5"/>
  <c r="M200" i="5"/>
  <c r="S200" i="5"/>
  <c r="G201" i="5"/>
  <c r="S197" i="5"/>
  <c r="M197" i="5"/>
  <c r="M110" i="5"/>
  <c r="S110" i="5"/>
  <c r="G111" i="5"/>
  <c r="H42" i="1"/>
  <c r="T41" i="1"/>
  <c r="K201" i="5" l="1"/>
  <c r="Q201" i="5"/>
  <c r="E202" i="5"/>
  <c r="J49" i="5"/>
  <c r="U47" i="5"/>
  <c r="V47" i="5" s="1"/>
  <c r="V48" i="5"/>
  <c r="K111" i="5"/>
  <c r="E112" i="5"/>
  <c r="Q111" i="5"/>
  <c r="J42" i="1"/>
  <c r="W42" i="1" s="1"/>
  <c r="F43" i="1" s="1"/>
  <c r="U41" i="1"/>
  <c r="V41" i="1" s="1"/>
  <c r="M201" i="5"/>
  <c r="G202" i="5"/>
  <c r="S201" i="5"/>
  <c r="G112" i="5"/>
  <c r="S111" i="5"/>
  <c r="M111" i="5"/>
  <c r="H43" i="1"/>
  <c r="E203" i="5" l="1"/>
  <c r="Q202" i="5"/>
  <c r="K202" i="5"/>
  <c r="W49" i="5"/>
  <c r="F50" i="5" s="1"/>
  <c r="L49" i="5"/>
  <c r="Q112" i="5"/>
  <c r="K112" i="5"/>
  <c r="E113" i="5"/>
  <c r="L42" i="1"/>
  <c r="I43" i="1"/>
  <c r="J43" i="1" s="1"/>
  <c r="L43" i="1" s="1"/>
  <c r="G203" i="5"/>
  <c r="S202" i="5"/>
  <c r="M202" i="5"/>
  <c r="H50" i="5"/>
  <c r="N49" i="5"/>
  <c r="M112" i="5"/>
  <c r="G113" i="5"/>
  <c r="S112" i="5"/>
  <c r="N42" i="1"/>
  <c r="N43" i="1"/>
  <c r="K203" i="5" l="1"/>
  <c r="E204" i="5"/>
  <c r="Q203" i="5"/>
  <c r="O49" i="5"/>
  <c r="P49" i="5" s="1"/>
  <c r="R49" i="5" s="1"/>
  <c r="I50" i="5"/>
  <c r="J50" i="5" s="1"/>
  <c r="K113" i="5"/>
  <c r="Q113" i="5"/>
  <c r="E114" i="5"/>
  <c r="O42" i="1"/>
  <c r="P42" i="1" s="1"/>
  <c r="R42" i="1" s="1"/>
  <c r="W43" i="1"/>
  <c r="F44" i="1" s="1"/>
  <c r="O43" i="1"/>
  <c r="P43" i="1" s="1"/>
  <c r="R43" i="1" s="1"/>
  <c r="M203" i="5"/>
  <c r="G204" i="5"/>
  <c r="S203" i="5"/>
  <c r="T49" i="5"/>
  <c r="G114" i="5"/>
  <c r="M113" i="5"/>
  <c r="S113" i="5"/>
  <c r="T42" i="1"/>
  <c r="H44" i="1"/>
  <c r="T43" i="1"/>
  <c r="Q204" i="5" l="1"/>
  <c r="K204" i="5"/>
  <c r="E205" i="5"/>
  <c r="W50" i="5"/>
  <c r="F51" i="5" s="1"/>
  <c r="L50" i="5"/>
  <c r="U49" i="5"/>
  <c r="V49" i="5" s="1"/>
  <c r="K114" i="5"/>
  <c r="E115" i="5"/>
  <c r="Q114" i="5"/>
  <c r="I44" i="1"/>
  <c r="J44" i="1" s="1"/>
  <c r="W44" i="1" s="1"/>
  <c r="F45" i="1" s="1"/>
  <c r="U42" i="1"/>
  <c r="V42" i="1" s="1"/>
  <c r="U43" i="1"/>
  <c r="V43" i="1" s="1"/>
  <c r="S204" i="5"/>
  <c r="M204" i="5"/>
  <c r="G205" i="5"/>
  <c r="H51" i="5"/>
  <c r="N50" i="5"/>
  <c r="M114" i="5"/>
  <c r="G115" i="5"/>
  <c r="S114" i="5"/>
  <c r="H45" i="1"/>
  <c r="K205" i="5" l="1"/>
  <c r="E206" i="5"/>
  <c r="Q205" i="5"/>
  <c r="O50" i="5"/>
  <c r="P50" i="5" s="1"/>
  <c r="R50" i="5" s="1"/>
  <c r="I51" i="5"/>
  <c r="J51" i="5" s="1"/>
  <c r="W51" i="5" s="1"/>
  <c r="F52" i="5" s="1"/>
  <c r="E116" i="5"/>
  <c r="K115" i="5"/>
  <c r="Q115" i="5"/>
  <c r="L44" i="1"/>
  <c r="I45" i="1"/>
  <c r="J45" i="1" s="1"/>
  <c r="W45" i="1" s="1"/>
  <c r="F46" i="1" s="1"/>
  <c r="M205" i="5"/>
  <c r="S205" i="5"/>
  <c r="G206" i="5"/>
  <c r="T50" i="5"/>
  <c r="H52" i="5"/>
  <c r="G116" i="5"/>
  <c r="M115" i="5"/>
  <c r="S115" i="5"/>
  <c r="N44" i="1"/>
  <c r="H46" i="1"/>
  <c r="Q206" i="5" l="1"/>
  <c r="K206" i="5"/>
  <c r="E207" i="5"/>
  <c r="I52" i="5"/>
  <c r="J52" i="5" s="1"/>
  <c r="L52" i="5" s="1"/>
  <c r="L51" i="5"/>
  <c r="U50" i="5"/>
  <c r="V50" i="5" s="1"/>
  <c r="E117" i="5"/>
  <c r="K116" i="5"/>
  <c r="Q116" i="5"/>
  <c r="O44" i="1"/>
  <c r="P44" i="1" s="1"/>
  <c r="R44" i="1" s="1"/>
  <c r="L45" i="1"/>
  <c r="O45" i="1" s="1"/>
  <c r="I46" i="1"/>
  <c r="J46" i="1" s="1"/>
  <c r="S206" i="5"/>
  <c r="G207" i="5"/>
  <c r="M206" i="5"/>
  <c r="N52" i="5"/>
  <c r="N51" i="5"/>
  <c r="G117" i="5"/>
  <c r="M116" i="5"/>
  <c r="S116" i="5"/>
  <c r="T44" i="1"/>
  <c r="N45" i="1"/>
  <c r="K207" i="5" l="1"/>
  <c r="E208" i="5"/>
  <c r="Q207" i="5"/>
  <c r="W52" i="5"/>
  <c r="F53" i="5" s="1"/>
  <c r="O51" i="5"/>
  <c r="P51" i="5" s="1"/>
  <c r="R51" i="5" s="1"/>
  <c r="O52" i="5"/>
  <c r="P52" i="5" s="1"/>
  <c r="R52" i="5" s="1"/>
  <c r="Q117" i="5"/>
  <c r="K117" i="5"/>
  <c r="E118" i="5"/>
  <c r="U44" i="1"/>
  <c r="V44" i="1" s="1"/>
  <c r="P45" i="1"/>
  <c r="R45" i="1" s="1"/>
  <c r="U45" i="1" s="1"/>
  <c r="W46" i="1"/>
  <c r="F47" i="1" s="1"/>
  <c r="L46" i="1"/>
  <c r="M207" i="5"/>
  <c r="S207" i="5"/>
  <c r="G208" i="5"/>
  <c r="H53" i="5"/>
  <c r="T52" i="5"/>
  <c r="T51" i="5"/>
  <c r="S117" i="5"/>
  <c r="M117" i="5"/>
  <c r="G118" i="5"/>
  <c r="T45" i="1"/>
  <c r="H47" i="1"/>
  <c r="N46" i="1"/>
  <c r="E209" i="5" l="1"/>
  <c r="Q208" i="5"/>
  <c r="K208" i="5"/>
  <c r="I53" i="5"/>
  <c r="J53" i="5" s="1"/>
  <c r="L53" i="5" s="1"/>
  <c r="U51" i="5"/>
  <c r="V51" i="5" s="1"/>
  <c r="U52" i="5"/>
  <c r="V52" i="5" s="1"/>
  <c r="W53" i="5"/>
  <c r="F54" i="5" s="1"/>
  <c r="Q118" i="5"/>
  <c r="K118" i="5"/>
  <c r="E119" i="5"/>
  <c r="V45" i="1"/>
  <c r="O46" i="1"/>
  <c r="P46" i="1" s="1"/>
  <c r="R46" i="1" s="1"/>
  <c r="I47" i="1"/>
  <c r="J47" i="1" s="1"/>
  <c r="G209" i="5"/>
  <c r="M208" i="5"/>
  <c r="S208" i="5"/>
  <c r="N53" i="5"/>
  <c r="H54" i="5"/>
  <c r="M118" i="5"/>
  <c r="G119" i="5"/>
  <c r="S118" i="5"/>
  <c r="T46" i="1"/>
  <c r="E210" i="5" l="1"/>
  <c r="Q209" i="5"/>
  <c r="K209" i="5"/>
  <c r="I54" i="5"/>
  <c r="J54" i="5" s="1"/>
  <c r="L54" i="5" s="1"/>
  <c r="O53" i="5"/>
  <c r="P53" i="5" s="1"/>
  <c r="R53" i="5" s="1"/>
  <c r="Q119" i="5"/>
  <c r="K119" i="5"/>
  <c r="E120" i="5"/>
  <c r="L47" i="1"/>
  <c r="W47" i="1"/>
  <c r="F48" i="1" s="1"/>
  <c r="U46" i="1"/>
  <c r="V46" i="1" s="1"/>
  <c r="G210" i="5"/>
  <c r="S209" i="5"/>
  <c r="M209" i="5"/>
  <c r="N54" i="5"/>
  <c r="T53" i="5"/>
  <c r="M119" i="5"/>
  <c r="S119" i="5"/>
  <c r="G120" i="5"/>
  <c r="N47" i="1"/>
  <c r="H48" i="1"/>
  <c r="Q210" i="5" l="1"/>
  <c r="K210" i="5"/>
  <c r="E211" i="5"/>
  <c r="U53" i="5"/>
  <c r="V53" i="5" s="1"/>
  <c r="O54" i="5"/>
  <c r="P54" i="5" s="1"/>
  <c r="R54" i="5" s="1"/>
  <c r="W54" i="5"/>
  <c r="F55" i="5" s="1"/>
  <c r="Q120" i="5"/>
  <c r="E121" i="5"/>
  <c r="K120" i="5"/>
  <c r="I48" i="1"/>
  <c r="J48" i="1" s="1"/>
  <c r="O47" i="1"/>
  <c r="P47" i="1" s="1"/>
  <c r="R47" i="1" s="1"/>
  <c r="S210" i="5"/>
  <c r="G211" i="5"/>
  <c r="M210" i="5"/>
  <c r="H55" i="5"/>
  <c r="T54" i="5"/>
  <c r="S120" i="5"/>
  <c r="M120" i="5"/>
  <c r="G121" i="5"/>
  <c r="T47" i="1"/>
  <c r="E212" i="5" l="1"/>
  <c r="K211" i="5"/>
  <c r="Q211" i="5"/>
  <c r="U54" i="5"/>
  <c r="V54" i="5" s="1"/>
  <c r="I55" i="5"/>
  <c r="J55" i="5" s="1"/>
  <c r="E122" i="5"/>
  <c r="K121" i="5"/>
  <c r="Q121" i="5"/>
  <c r="U47" i="1"/>
  <c r="V47" i="1" s="1"/>
  <c r="L48" i="1"/>
  <c r="W48" i="1"/>
  <c r="F49" i="1" s="1"/>
  <c r="G212" i="5"/>
  <c r="S211" i="5"/>
  <c r="M211" i="5"/>
  <c r="G122" i="5"/>
  <c r="M121" i="5"/>
  <c r="S121" i="5"/>
  <c r="N48" i="1"/>
  <c r="H49" i="1"/>
  <c r="K212" i="5" l="1"/>
  <c r="Q212" i="5"/>
  <c r="L55" i="5"/>
  <c r="W55" i="5"/>
  <c r="F56" i="5" s="1"/>
  <c r="K122" i="5"/>
  <c r="E123" i="5"/>
  <c r="Q122" i="5"/>
  <c r="I49" i="1"/>
  <c r="J49" i="1" s="1"/>
  <c r="O48" i="1"/>
  <c r="P48" i="1" s="1"/>
  <c r="R48" i="1" s="1"/>
  <c r="M212" i="5"/>
  <c r="S212" i="5"/>
  <c r="N55" i="5"/>
  <c r="H56" i="5"/>
  <c r="S122" i="5"/>
  <c r="M122" i="5"/>
  <c r="G123" i="5"/>
  <c r="T48" i="1"/>
  <c r="I56" i="5" l="1"/>
  <c r="J56" i="5" s="1"/>
  <c r="L56" i="5" s="1"/>
  <c r="O55" i="5"/>
  <c r="P55" i="5" s="1"/>
  <c r="R55" i="5" s="1"/>
  <c r="E124" i="5"/>
  <c r="Q123" i="5"/>
  <c r="K123" i="5"/>
  <c r="U48" i="1"/>
  <c r="V48" i="1" s="1"/>
  <c r="W49" i="1"/>
  <c r="F50" i="1" s="1"/>
  <c r="L49" i="1"/>
  <c r="N56" i="5"/>
  <c r="T55" i="5"/>
  <c r="S123" i="5"/>
  <c r="M123" i="5"/>
  <c r="G124" i="5"/>
  <c r="H50" i="1"/>
  <c r="N49" i="1"/>
  <c r="U55" i="5" l="1"/>
  <c r="V55" i="5" s="1"/>
  <c r="W56" i="5"/>
  <c r="F57" i="5" s="1"/>
  <c r="O56" i="5"/>
  <c r="P56" i="5" s="1"/>
  <c r="R56" i="5" s="1"/>
  <c r="Q124" i="5"/>
  <c r="K124" i="5"/>
  <c r="E125" i="5"/>
  <c r="O49" i="1"/>
  <c r="P49" i="1" s="1"/>
  <c r="R49" i="1" s="1"/>
  <c r="I50" i="1"/>
  <c r="J50" i="1" s="1"/>
  <c r="W50" i="1" s="1"/>
  <c r="F51" i="1" s="1"/>
  <c r="T56" i="5"/>
  <c r="H57" i="5"/>
  <c r="M124" i="5"/>
  <c r="S124" i="5"/>
  <c r="G125" i="5"/>
  <c r="T49" i="1"/>
  <c r="H51" i="1"/>
  <c r="I57" i="5" l="1"/>
  <c r="J57" i="5" s="1"/>
  <c r="L57" i="5" s="1"/>
  <c r="U56" i="5"/>
  <c r="V56" i="5" s="1"/>
  <c r="Q125" i="5"/>
  <c r="K125" i="5"/>
  <c r="E126" i="5"/>
  <c r="L50" i="1"/>
  <c r="O50" i="1" s="1"/>
  <c r="I51" i="1"/>
  <c r="J51" i="1" s="1"/>
  <c r="U49" i="1"/>
  <c r="V49" i="1" s="1"/>
  <c r="N57" i="5"/>
  <c r="S125" i="5"/>
  <c r="M125" i="5"/>
  <c r="G126" i="5"/>
  <c r="N50" i="1"/>
  <c r="W57" i="5" l="1"/>
  <c r="F58" i="5" s="1"/>
  <c r="O57" i="5"/>
  <c r="P57" i="5" s="1"/>
  <c r="R57" i="5" s="1"/>
  <c r="K126" i="5"/>
  <c r="Q126" i="5"/>
  <c r="E127" i="5"/>
  <c r="P50" i="1"/>
  <c r="R50" i="1" s="1"/>
  <c r="L51" i="1"/>
  <c r="W51" i="1"/>
  <c r="F52" i="1" s="1"/>
  <c r="H58" i="5"/>
  <c r="T57" i="5"/>
  <c r="M126" i="5"/>
  <c r="G127" i="5"/>
  <c r="S126" i="5"/>
  <c r="T50" i="1"/>
  <c r="N51" i="1"/>
  <c r="H52" i="1"/>
  <c r="U57" i="5" l="1"/>
  <c r="V57" i="5" s="1"/>
  <c r="I58" i="5"/>
  <c r="J58" i="5" s="1"/>
  <c r="L58" i="5" s="1"/>
  <c r="K127" i="5"/>
  <c r="E128" i="5"/>
  <c r="Q127" i="5"/>
  <c r="U50" i="1"/>
  <c r="V50" i="1" s="1"/>
  <c r="I52" i="1"/>
  <c r="J52" i="1" s="1"/>
  <c r="O51" i="1"/>
  <c r="P51" i="1" s="1"/>
  <c r="R51" i="1" s="1"/>
  <c r="N58" i="5"/>
  <c r="M127" i="5"/>
  <c r="G128" i="5"/>
  <c r="S127" i="5"/>
  <c r="T51" i="1"/>
  <c r="O58" i="5" l="1"/>
  <c r="P58" i="5" s="1"/>
  <c r="R58" i="5" s="1"/>
  <c r="W58" i="5"/>
  <c r="F59" i="5" s="1"/>
  <c r="Q128" i="5"/>
  <c r="E129" i="5"/>
  <c r="K128" i="5"/>
  <c r="U51" i="1"/>
  <c r="V51" i="1" s="1"/>
  <c r="L52" i="1"/>
  <c r="W52" i="1"/>
  <c r="H59" i="5"/>
  <c r="T58" i="5"/>
  <c r="S128" i="5"/>
  <c r="G129" i="5"/>
  <c r="M128" i="5"/>
  <c r="N52" i="1"/>
  <c r="U58" i="5" l="1"/>
  <c r="V58" i="5" s="1"/>
  <c r="I59" i="5"/>
  <c r="J59" i="5" s="1"/>
  <c r="L59" i="5" s="1"/>
  <c r="E130" i="5"/>
  <c r="K129" i="5"/>
  <c r="Q129" i="5"/>
  <c r="O52" i="1"/>
  <c r="P52" i="1" s="1"/>
  <c r="R52" i="1" s="1"/>
  <c r="N59" i="5"/>
  <c r="G130" i="5"/>
  <c r="M129" i="5"/>
  <c r="S129" i="5"/>
  <c r="T52" i="1"/>
  <c r="O59" i="5" l="1"/>
  <c r="P59" i="5" s="1"/>
  <c r="R59" i="5" s="1"/>
  <c r="W59" i="5"/>
  <c r="F60" i="5" s="1"/>
  <c r="K130" i="5"/>
  <c r="Q130" i="5"/>
  <c r="E131" i="5"/>
  <c r="U52" i="1"/>
  <c r="V52" i="1" s="1"/>
  <c r="T59" i="5"/>
  <c r="H60" i="5"/>
  <c r="M130" i="5"/>
  <c r="S130" i="5"/>
  <c r="G131" i="5"/>
  <c r="I60" i="5" l="1"/>
  <c r="J60" i="5" s="1"/>
  <c r="L60" i="5" s="1"/>
  <c r="W60" i="5"/>
  <c r="F61" i="5" s="1"/>
  <c r="U59" i="5"/>
  <c r="V59" i="5" s="1"/>
  <c r="E132" i="5"/>
  <c r="Q131" i="5"/>
  <c r="K131" i="5"/>
  <c r="N60" i="5"/>
  <c r="H61" i="5"/>
  <c r="G132" i="5"/>
  <c r="M131" i="5"/>
  <c r="S131" i="5"/>
  <c r="I61" i="5" l="1"/>
  <c r="J61" i="5" s="1"/>
  <c r="L61" i="5" s="1"/>
  <c r="W61" i="5"/>
  <c r="F62" i="5" s="1"/>
  <c r="O60" i="5"/>
  <c r="P60" i="5" s="1"/>
  <c r="R60" i="5" s="1"/>
  <c r="K132" i="5"/>
  <c r="E133" i="5"/>
  <c r="Q132" i="5"/>
  <c r="H62" i="5"/>
  <c r="N61" i="5"/>
  <c r="T60" i="5"/>
  <c r="G133" i="5"/>
  <c r="S132" i="5"/>
  <c r="M132" i="5"/>
  <c r="U60" i="5" l="1"/>
  <c r="V60" i="5" s="1"/>
  <c r="O61" i="5"/>
  <c r="P61" i="5" s="1"/>
  <c r="R61" i="5" s="1"/>
  <c r="I62" i="5"/>
  <c r="J62" i="5" s="1"/>
  <c r="W62" i="5" s="1"/>
  <c r="F63" i="5" s="1"/>
  <c r="L62" i="5"/>
  <c r="Q133" i="5"/>
  <c r="K133" i="5"/>
  <c r="E134" i="5"/>
  <c r="H63" i="5"/>
  <c r="N62" i="5"/>
  <c r="T61" i="5"/>
  <c r="S133" i="5"/>
  <c r="M133" i="5"/>
  <c r="G134" i="5"/>
  <c r="U61" i="5" l="1"/>
  <c r="V61" i="5" s="1"/>
  <c r="O62" i="5"/>
  <c r="P62" i="5" s="1"/>
  <c r="R62" i="5" s="1"/>
  <c r="I63" i="5"/>
  <c r="J63" i="5" s="1"/>
  <c r="L63" i="5" s="1"/>
  <c r="Q134" i="5"/>
  <c r="K134" i="5"/>
  <c r="E135" i="5"/>
  <c r="T62" i="5"/>
  <c r="N63" i="5"/>
  <c r="G135" i="5"/>
  <c r="S134" i="5"/>
  <c r="M134" i="5"/>
  <c r="W63" i="5" l="1"/>
  <c r="F64" i="5" s="1"/>
  <c r="I64" i="5" s="1"/>
  <c r="O63" i="5"/>
  <c r="P63" i="5" s="1"/>
  <c r="R63" i="5" s="1"/>
  <c r="U62" i="5"/>
  <c r="V62" i="5" s="1"/>
  <c r="Q135" i="5"/>
  <c r="K135" i="5"/>
  <c r="E136" i="5"/>
  <c r="H64" i="5"/>
  <c r="T63" i="5"/>
  <c r="S135" i="5"/>
  <c r="M135" i="5"/>
  <c r="G136" i="5"/>
  <c r="J64" i="5" l="1"/>
  <c r="U63" i="5"/>
  <c r="V63" i="5" s="1"/>
  <c r="K136" i="5"/>
  <c r="E137" i="5"/>
  <c r="Q136" i="5"/>
  <c r="S136" i="5"/>
  <c r="M136" i="5"/>
  <c r="G137" i="5"/>
  <c r="W64" i="5" l="1"/>
  <c r="F65" i="5" s="1"/>
  <c r="L64" i="5"/>
  <c r="K137" i="5"/>
  <c r="E138" i="5"/>
  <c r="Q137" i="5"/>
  <c r="H65" i="5"/>
  <c r="N64" i="5"/>
  <c r="M137" i="5"/>
  <c r="G138" i="5"/>
  <c r="S137" i="5"/>
  <c r="O64" i="5" l="1"/>
  <c r="P64" i="5" s="1"/>
  <c r="R64" i="5" s="1"/>
  <c r="I65" i="5"/>
  <c r="J65" i="5" s="1"/>
  <c r="E139" i="5"/>
  <c r="K138" i="5"/>
  <c r="Q138" i="5"/>
  <c r="T64" i="5"/>
  <c r="M138" i="5"/>
  <c r="S138" i="5"/>
  <c r="G139" i="5"/>
  <c r="L65" i="5" l="1"/>
  <c r="W65" i="5"/>
  <c r="F66" i="5" s="1"/>
  <c r="U64" i="5"/>
  <c r="V64" i="5" s="1"/>
  <c r="K139" i="5"/>
  <c r="Q139" i="5"/>
  <c r="N65" i="5"/>
  <c r="H66" i="5"/>
  <c r="S139" i="5"/>
  <c r="M139" i="5"/>
  <c r="I66" i="5" l="1"/>
  <c r="J66" i="5" s="1"/>
  <c r="O65" i="5"/>
  <c r="P65" i="5" s="1"/>
  <c r="R65" i="5" s="1"/>
  <c r="T65" i="5"/>
  <c r="U65" i="5" l="1"/>
  <c r="V65" i="5" s="1"/>
  <c r="W66" i="5"/>
  <c r="F67" i="5" s="1"/>
  <c r="L66" i="5"/>
  <c r="H67" i="5"/>
  <c r="N66" i="5"/>
  <c r="O66" i="5" l="1"/>
  <c r="P66" i="5" s="1"/>
  <c r="R66" i="5" s="1"/>
  <c r="I67" i="5"/>
  <c r="J67" i="5" s="1"/>
  <c r="W67" i="5" s="1"/>
  <c r="F68" i="5" s="1"/>
  <c r="T66" i="5"/>
  <c r="H68" i="5"/>
  <c r="I68" i="5" l="1"/>
  <c r="J68" i="5" s="1"/>
  <c r="W68" i="5" s="1"/>
  <c r="F69" i="5" s="1"/>
  <c r="I69" i="5" s="1"/>
  <c r="L67" i="5"/>
  <c r="U66" i="5"/>
  <c r="V66" i="5" s="1"/>
  <c r="L68" i="5"/>
  <c r="H69" i="5"/>
  <c r="N67" i="5"/>
  <c r="N68" i="5"/>
  <c r="J69" i="5" l="1"/>
  <c r="O67" i="5"/>
  <c r="P67" i="5" s="1"/>
  <c r="R67" i="5" s="1"/>
  <c r="O68" i="5"/>
  <c r="P68" i="5" s="1"/>
  <c r="R68" i="5" s="1"/>
  <c r="T67" i="5"/>
  <c r="T68" i="5"/>
  <c r="U67" i="5" l="1"/>
  <c r="V67" i="5" s="1"/>
  <c r="L69" i="5"/>
  <c r="W69" i="5"/>
  <c r="F70" i="5" s="1"/>
  <c r="U68" i="5"/>
  <c r="V68" i="5" s="1"/>
  <c r="N69" i="5"/>
  <c r="H70" i="5"/>
  <c r="I70" i="5" l="1"/>
  <c r="J70" i="5" s="1"/>
  <c r="W70" i="5"/>
  <c r="F71" i="5" s="1"/>
  <c r="L70" i="5"/>
  <c r="O69" i="5"/>
  <c r="P69" i="5" s="1"/>
  <c r="R69" i="5" s="1"/>
  <c r="H71" i="5"/>
  <c r="N70" i="5"/>
  <c r="T69" i="5"/>
  <c r="U69" i="5" l="1"/>
  <c r="V69" i="5" s="1"/>
  <c r="O70" i="5"/>
  <c r="P70" i="5" s="1"/>
  <c r="R70" i="5" s="1"/>
  <c r="I71" i="5"/>
  <c r="J71" i="5" s="1"/>
  <c r="W71" i="5" s="1"/>
  <c r="F72" i="5" s="1"/>
  <c r="I72" i="5" s="1"/>
  <c r="H72" i="5"/>
  <c r="T70" i="5"/>
  <c r="J72" i="5" l="1"/>
  <c r="W72" i="5" s="1"/>
  <c r="F73" i="5" s="1"/>
  <c r="I73" i="5" s="1"/>
  <c r="U70" i="5"/>
  <c r="V70" i="5" s="1"/>
  <c r="L71" i="5"/>
  <c r="H73" i="5"/>
  <c r="N71" i="5"/>
  <c r="J73" i="5" l="1"/>
  <c r="W73" i="5" s="1"/>
  <c r="F74" i="5" s="1"/>
  <c r="L72" i="5"/>
  <c r="O71" i="5"/>
  <c r="P71" i="5" s="1"/>
  <c r="R71" i="5" s="1"/>
  <c r="T71" i="5"/>
  <c r="N72" i="5"/>
  <c r="H74" i="5"/>
  <c r="L73" i="5" l="1"/>
  <c r="O72" i="5"/>
  <c r="P72" i="5" s="1"/>
  <c r="R72" i="5" s="1"/>
  <c r="U71" i="5"/>
  <c r="V71" i="5" s="1"/>
  <c r="O73" i="5"/>
  <c r="I74" i="5"/>
  <c r="J74" i="5" s="1"/>
  <c r="L74" i="5" s="1"/>
  <c r="N73" i="5"/>
  <c r="T72" i="5"/>
  <c r="N74" i="5"/>
  <c r="P73" i="5" l="1"/>
  <c r="R73" i="5" s="1"/>
  <c r="W74" i="5"/>
  <c r="F75" i="5" s="1"/>
  <c r="I75" i="5" s="1"/>
  <c r="U72" i="5"/>
  <c r="V72" i="5" s="1"/>
  <c r="U73" i="5"/>
  <c r="O74" i="5"/>
  <c r="P74" i="5" s="1"/>
  <c r="R74" i="5" s="1"/>
  <c r="T73" i="5"/>
  <c r="H75" i="5"/>
  <c r="T74" i="5"/>
  <c r="V73" i="5" l="1"/>
  <c r="J75" i="5"/>
  <c r="U74" i="5"/>
  <c r="V74" i="5" s="1"/>
  <c r="L75" i="5" l="1"/>
  <c r="W75" i="5"/>
  <c r="F76" i="5" s="1"/>
  <c r="N75" i="5"/>
  <c r="H76" i="5"/>
  <c r="I76" i="5" l="1"/>
  <c r="J76" i="5" s="1"/>
  <c r="W76" i="5" s="1"/>
  <c r="F77" i="5" s="1"/>
  <c r="O75" i="5"/>
  <c r="P75" i="5" s="1"/>
  <c r="R75" i="5" s="1"/>
  <c r="H77" i="5"/>
  <c r="T75" i="5"/>
  <c r="U75" i="5" l="1"/>
  <c r="V75" i="5" s="1"/>
  <c r="L76" i="5"/>
  <c r="I77" i="5"/>
  <c r="J77" i="5" s="1"/>
  <c r="N76" i="5"/>
  <c r="W77" i="5" l="1"/>
  <c r="F78" i="5" s="1"/>
  <c r="L77" i="5"/>
  <c r="O76" i="5"/>
  <c r="P76" i="5" s="1"/>
  <c r="R76" i="5" s="1"/>
  <c r="H78" i="5"/>
  <c r="N77" i="5"/>
  <c r="T76" i="5"/>
  <c r="U76" i="5" l="1"/>
  <c r="V76" i="5" s="1"/>
  <c r="O77" i="5"/>
  <c r="P77" i="5" s="1"/>
  <c r="R77" i="5" s="1"/>
  <c r="I78" i="5"/>
  <c r="J78" i="5" s="1"/>
  <c r="L78" i="5" s="1"/>
  <c r="T77" i="5"/>
  <c r="N78" i="5"/>
  <c r="W78" i="5" l="1"/>
  <c r="F79" i="5" s="1"/>
  <c r="O78" i="5"/>
  <c r="P78" i="5" s="1"/>
  <c r="R78" i="5" s="1"/>
  <c r="U77" i="5"/>
  <c r="V77" i="5" s="1"/>
  <c r="H79" i="5"/>
  <c r="T78" i="5"/>
  <c r="U78" i="5" l="1"/>
  <c r="V78" i="5" s="1"/>
  <c r="I79" i="5"/>
  <c r="J79" i="5" s="1"/>
  <c r="L79" i="5" s="1"/>
  <c r="N79" i="5"/>
  <c r="O79" i="5" l="1"/>
  <c r="P79" i="5" s="1"/>
  <c r="R79" i="5" s="1"/>
  <c r="W79" i="5"/>
  <c r="F80" i="5" s="1"/>
  <c r="T79" i="5"/>
  <c r="H80" i="5"/>
  <c r="I80" i="5" l="1"/>
  <c r="J80" i="5" s="1"/>
  <c r="W80" i="5" s="1"/>
  <c r="F81" i="5" s="1"/>
  <c r="L80" i="5"/>
  <c r="U79" i="5"/>
  <c r="V79" i="5" s="1"/>
  <c r="H81" i="5"/>
  <c r="N80" i="5"/>
  <c r="O80" i="5" l="1"/>
  <c r="P80" i="5" s="1"/>
  <c r="R80" i="5" s="1"/>
  <c r="I81" i="5"/>
  <c r="J81" i="5" s="1"/>
  <c r="L81" i="5" s="1"/>
  <c r="T80" i="5"/>
  <c r="N81" i="5"/>
  <c r="W81" i="5" l="1"/>
  <c r="F82" i="5" s="1"/>
  <c r="I82" i="5"/>
  <c r="O81" i="5"/>
  <c r="P81" i="5" s="1"/>
  <c r="R81" i="5" s="1"/>
  <c r="U80" i="5"/>
  <c r="V80" i="5" s="1"/>
  <c r="H82" i="5"/>
  <c r="T81" i="5"/>
  <c r="J82" i="5" l="1"/>
  <c r="U81" i="5"/>
  <c r="V81" i="5" s="1"/>
  <c r="W82" i="5" l="1"/>
  <c r="F83" i="5" s="1"/>
  <c r="L82" i="5"/>
  <c r="N82" i="5"/>
  <c r="H83" i="5"/>
  <c r="I83" i="5" l="1"/>
  <c r="J83" i="5" s="1"/>
  <c r="W83" i="5" s="1"/>
  <c r="F84" i="5" s="1"/>
  <c r="L83" i="5"/>
  <c r="O83" i="5" s="1"/>
  <c r="O82" i="5"/>
  <c r="P82" i="5" s="1"/>
  <c r="R82" i="5" s="1"/>
  <c r="H84" i="5"/>
  <c r="T82" i="5"/>
  <c r="N83" i="5"/>
  <c r="P83" i="5" l="1"/>
  <c r="R83" i="5" s="1"/>
  <c r="U82" i="5"/>
  <c r="V82" i="5" s="1"/>
  <c r="I84" i="5"/>
  <c r="J84" i="5" s="1"/>
  <c r="L84" i="5" s="1"/>
  <c r="U83" i="5"/>
  <c r="T83" i="5"/>
  <c r="N84" i="5"/>
  <c r="O84" i="5" l="1"/>
  <c r="P84" i="5" s="1"/>
  <c r="R84" i="5" s="1"/>
  <c r="W84" i="5"/>
  <c r="F85" i="5" s="1"/>
  <c r="V83" i="5"/>
  <c r="T84" i="5"/>
  <c r="H85" i="5"/>
  <c r="I85" i="5" l="1"/>
  <c r="J85" i="5" s="1"/>
  <c r="L85" i="5" s="1"/>
  <c r="U84" i="5"/>
  <c r="V84" i="5" s="1"/>
  <c r="N85" i="5"/>
  <c r="O85" i="5" l="1"/>
  <c r="P85" i="5" s="1"/>
  <c r="R85" i="5" s="1"/>
  <c r="W85" i="5"/>
  <c r="F86" i="5" s="1"/>
  <c r="T85" i="5"/>
  <c r="H86" i="5"/>
  <c r="I86" i="5" l="1"/>
  <c r="J86" i="5" s="1"/>
  <c r="L86" i="5" s="1"/>
  <c r="U85" i="5"/>
  <c r="V85" i="5" s="1"/>
  <c r="N86" i="5"/>
  <c r="O86" i="5" l="1"/>
  <c r="P86" i="5" s="1"/>
  <c r="R86" i="5" s="1"/>
  <c r="W86" i="5"/>
  <c r="F87" i="5" s="1"/>
  <c r="H87" i="5"/>
  <c r="T86" i="5"/>
  <c r="U86" i="5" l="1"/>
  <c r="V86" i="5" s="1"/>
  <c r="I87" i="5"/>
  <c r="J87" i="5" s="1"/>
  <c r="W87" i="5" s="1"/>
  <c r="F88" i="5" s="1"/>
  <c r="H88" i="5"/>
  <c r="I88" i="5" l="1"/>
  <c r="J88" i="5" s="1"/>
  <c r="L88" i="5"/>
  <c r="W88" i="5"/>
  <c r="F89" i="5" s="1"/>
  <c r="I89" i="5" s="1"/>
  <c r="L87" i="5"/>
  <c r="O88" i="5"/>
  <c r="N88" i="5"/>
  <c r="H89" i="5"/>
  <c r="N87" i="5"/>
  <c r="J89" i="5" l="1"/>
  <c r="P88" i="5"/>
  <c r="R88" i="5" s="1"/>
  <c r="U88" i="5" s="1"/>
  <c r="O87" i="5"/>
  <c r="P87" i="5" s="1"/>
  <c r="R87" i="5" s="1"/>
  <c r="T88" i="5"/>
  <c r="T87" i="5"/>
  <c r="V88" i="5" l="1"/>
  <c r="U87" i="5"/>
  <c r="V87" i="5" s="1"/>
  <c r="W89" i="5"/>
  <c r="F90" i="5" s="1"/>
  <c r="L89" i="5"/>
  <c r="H90" i="5"/>
  <c r="N89" i="5"/>
  <c r="O89" i="5" l="1"/>
  <c r="P89" i="5" s="1"/>
  <c r="R89" i="5" s="1"/>
  <c r="I90" i="5"/>
  <c r="J90" i="5" s="1"/>
  <c r="T89" i="5"/>
  <c r="L90" i="5" l="1"/>
  <c r="W90" i="5"/>
  <c r="F91" i="5" s="1"/>
  <c r="U89" i="5"/>
  <c r="V89" i="5" s="1"/>
  <c r="N90" i="5"/>
  <c r="H91" i="5"/>
  <c r="I91" i="5" l="1"/>
  <c r="J91" i="5" s="1"/>
  <c r="O90" i="5"/>
  <c r="P90" i="5" s="1"/>
  <c r="R90" i="5" s="1"/>
  <c r="T90" i="5"/>
  <c r="U90" i="5" l="1"/>
  <c r="V90" i="5" s="1"/>
  <c r="L91" i="5"/>
  <c r="W91" i="5"/>
  <c r="F92" i="5" s="1"/>
  <c r="N91" i="5"/>
  <c r="H92" i="5"/>
  <c r="I92" i="5" l="1"/>
  <c r="J92" i="5" s="1"/>
  <c r="O91" i="5"/>
  <c r="P91" i="5" s="1"/>
  <c r="R91" i="5" s="1"/>
  <c r="T91" i="5"/>
  <c r="U91" i="5" l="1"/>
  <c r="V91" i="5" s="1"/>
  <c r="L92" i="5"/>
  <c r="W92" i="5"/>
  <c r="F93" i="5" s="1"/>
  <c r="N92" i="5"/>
  <c r="H93" i="5"/>
  <c r="I93" i="5" l="1"/>
  <c r="J93" i="5" s="1"/>
  <c r="L93" i="5" s="1"/>
  <c r="O92" i="5"/>
  <c r="P92" i="5" s="1"/>
  <c r="R92" i="5" s="1"/>
  <c r="N93" i="5"/>
  <c r="T92" i="5"/>
  <c r="U92" i="5" l="1"/>
  <c r="V92" i="5" s="1"/>
  <c r="W93" i="5"/>
  <c r="F94" i="5" s="1"/>
  <c r="O93" i="5"/>
  <c r="P93" i="5" s="1"/>
  <c r="R93" i="5" s="1"/>
  <c r="H94" i="5"/>
  <c r="T93" i="5"/>
  <c r="U93" i="5" l="1"/>
  <c r="V93" i="5" s="1"/>
  <c r="I94" i="5"/>
  <c r="J94" i="5" s="1"/>
  <c r="W94" i="5" s="1"/>
  <c r="F95" i="5" s="1"/>
  <c r="H95" i="5"/>
  <c r="I95" i="5" l="1"/>
  <c r="J95" i="5" s="1"/>
  <c r="W95" i="5" s="1"/>
  <c r="F96" i="5" s="1"/>
  <c r="L95" i="5"/>
  <c r="O95" i="5" s="1"/>
  <c r="L94" i="5"/>
  <c r="H96" i="5"/>
  <c r="N95" i="5"/>
  <c r="N94" i="5"/>
  <c r="P95" i="5" l="1"/>
  <c r="R95" i="5" s="1"/>
  <c r="O94" i="5"/>
  <c r="P94" i="5" s="1"/>
  <c r="R94" i="5" s="1"/>
  <c r="I96" i="5"/>
  <c r="J96" i="5" s="1"/>
  <c r="L96" i="5" s="1"/>
  <c r="U95" i="5"/>
  <c r="T95" i="5"/>
  <c r="T94" i="5"/>
  <c r="N96" i="5"/>
  <c r="O96" i="5" l="1"/>
  <c r="P96" i="5" s="1"/>
  <c r="R96" i="5" s="1"/>
  <c r="W96" i="5"/>
  <c r="F97" i="5" s="1"/>
  <c r="U94" i="5"/>
  <c r="V94" i="5" s="1"/>
  <c r="V95" i="5"/>
  <c r="T96" i="5"/>
  <c r="H97" i="5"/>
  <c r="I97" i="5" l="1"/>
  <c r="J97" i="5" s="1"/>
  <c r="L97" i="5" s="1"/>
  <c r="W97" i="5"/>
  <c r="F98" i="5" s="1"/>
  <c r="U96" i="5"/>
  <c r="V96" i="5" s="1"/>
  <c r="N97" i="5"/>
  <c r="H98" i="5"/>
  <c r="I98" i="5" l="1"/>
  <c r="J98" i="5" s="1"/>
  <c r="L98" i="5" s="1"/>
  <c r="W98" i="5"/>
  <c r="F99" i="5" s="1"/>
  <c r="O97" i="5"/>
  <c r="P97" i="5" s="1"/>
  <c r="R97" i="5" s="1"/>
  <c r="N98" i="5"/>
  <c r="H99" i="5"/>
  <c r="T97" i="5"/>
  <c r="U97" i="5" l="1"/>
  <c r="V97" i="5" s="1"/>
  <c r="I99" i="5"/>
  <c r="J99" i="5" s="1"/>
  <c r="L99" i="5" s="1"/>
  <c r="W99" i="5"/>
  <c r="F100" i="5" s="1"/>
  <c r="O98" i="5"/>
  <c r="P98" i="5" s="1"/>
  <c r="R98" i="5" s="1"/>
  <c r="N99" i="5"/>
  <c r="H100" i="5"/>
  <c r="T98" i="5"/>
  <c r="U98" i="5" l="1"/>
  <c r="V98" i="5" s="1"/>
  <c r="I100" i="5"/>
  <c r="J100" i="5" s="1"/>
  <c r="W100" i="5" s="1"/>
  <c r="F101" i="5" s="1"/>
  <c r="O99" i="5"/>
  <c r="P99" i="5" s="1"/>
  <c r="R99" i="5" s="1"/>
  <c r="T99" i="5"/>
  <c r="H101" i="5"/>
  <c r="I101" i="5" l="1"/>
  <c r="J101" i="5" s="1"/>
  <c r="L101" i="5" s="1"/>
  <c r="U99" i="5"/>
  <c r="V99" i="5" s="1"/>
  <c r="L100" i="5"/>
  <c r="N101" i="5"/>
  <c r="N100" i="5"/>
  <c r="W101" i="5" l="1"/>
  <c r="F102" i="5" s="1"/>
  <c r="O100" i="5"/>
  <c r="P100" i="5" s="1"/>
  <c r="R100" i="5" s="1"/>
  <c r="O101" i="5"/>
  <c r="P101" i="5" s="1"/>
  <c r="R101" i="5" s="1"/>
  <c r="H102" i="5"/>
  <c r="T100" i="5"/>
  <c r="T101" i="5"/>
  <c r="U101" i="5" l="1"/>
  <c r="V101" i="5" s="1"/>
  <c r="U100" i="5"/>
  <c r="V100" i="5" s="1"/>
  <c r="I102" i="5"/>
  <c r="J102" i="5" s="1"/>
  <c r="W102" i="5" l="1"/>
  <c r="F103" i="5" s="1"/>
  <c r="L102" i="5"/>
  <c r="H103" i="5"/>
  <c r="N102" i="5"/>
  <c r="O102" i="5" l="1"/>
  <c r="P102" i="5" s="1"/>
  <c r="R102" i="5" s="1"/>
  <c r="I103" i="5"/>
  <c r="J103" i="5" s="1"/>
  <c r="L103" i="5" s="1"/>
  <c r="W103" i="5"/>
  <c r="F104" i="5" s="1"/>
  <c r="T102" i="5"/>
  <c r="N103" i="5"/>
  <c r="H104" i="5"/>
  <c r="I104" i="5" l="1"/>
  <c r="J104" i="5" s="1"/>
  <c r="W104" i="5" s="1"/>
  <c r="F105" i="5" s="1"/>
  <c r="O103" i="5"/>
  <c r="P103" i="5" s="1"/>
  <c r="R103" i="5" s="1"/>
  <c r="U102" i="5"/>
  <c r="V102" i="5" s="1"/>
  <c r="T103" i="5"/>
  <c r="H105" i="5"/>
  <c r="I105" i="5" l="1"/>
  <c r="J105" i="5" s="1"/>
  <c r="W105" i="5" s="1"/>
  <c r="F106" i="5" s="1"/>
  <c r="L105" i="5"/>
  <c r="U103" i="5"/>
  <c r="V103" i="5" s="1"/>
  <c r="L104" i="5"/>
  <c r="H106" i="5"/>
  <c r="N104" i="5"/>
  <c r="N105" i="5"/>
  <c r="O105" i="5" l="1"/>
  <c r="P105" i="5" s="1"/>
  <c r="R105" i="5" s="1"/>
  <c r="O104" i="5"/>
  <c r="P104" i="5" s="1"/>
  <c r="R104" i="5" s="1"/>
  <c r="I106" i="5"/>
  <c r="J106" i="5" s="1"/>
  <c r="W106" i="5" s="1"/>
  <c r="F107" i="5" s="1"/>
  <c r="T104" i="5"/>
  <c r="H107" i="5"/>
  <c r="T105" i="5"/>
  <c r="U105" i="5" l="1"/>
  <c r="V105" i="5" s="1"/>
  <c r="I107" i="5"/>
  <c r="J107" i="5" s="1"/>
  <c r="L107" i="5" s="1"/>
  <c r="W107" i="5"/>
  <c r="F108" i="5" s="1"/>
  <c r="U104" i="5"/>
  <c r="V104" i="5" s="1"/>
  <c r="L106" i="5"/>
  <c r="H108" i="5"/>
  <c r="N107" i="5"/>
  <c r="N106" i="5"/>
  <c r="O106" i="5" l="1"/>
  <c r="P106" i="5" s="1"/>
  <c r="R106" i="5" s="1"/>
  <c r="O107" i="5"/>
  <c r="P107" i="5" s="1"/>
  <c r="R107" i="5" s="1"/>
  <c r="I108" i="5"/>
  <c r="J108" i="5" s="1"/>
  <c r="W108" i="5" s="1"/>
  <c r="F109" i="5" s="1"/>
  <c r="T107" i="5"/>
  <c r="T106" i="5"/>
  <c r="H109" i="5"/>
  <c r="I109" i="5" l="1"/>
  <c r="J109" i="5" s="1"/>
  <c r="L109" i="5" s="1"/>
  <c r="U106" i="5"/>
  <c r="V106" i="5" s="1"/>
  <c r="U107" i="5"/>
  <c r="V107" i="5" s="1"/>
  <c r="L108" i="5"/>
  <c r="N109" i="5"/>
  <c r="N108" i="5"/>
  <c r="O108" i="5" l="1"/>
  <c r="P108" i="5" s="1"/>
  <c r="R108" i="5" s="1"/>
  <c r="W109" i="5"/>
  <c r="F110" i="5" s="1"/>
  <c r="O109" i="5"/>
  <c r="P109" i="5" s="1"/>
  <c r="R109" i="5" s="1"/>
  <c r="T108" i="5"/>
  <c r="H110" i="5"/>
  <c r="T109" i="5"/>
  <c r="U109" i="5" l="1"/>
  <c r="V109" i="5" s="1"/>
  <c r="I110" i="5"/>
  <c r="J110" i="5" s="1"/>
  <c r="W110" i="5" s="1"/>
  <c r="F111" i="5" s="1"/>
  <c r="L110" i="5"/>
  <c r="U108" i="5"/>
  <c r="V108" i="5" s="1"/>
  <c r="H111" i="5"/>
  <c r="N110" i="5"/>
  <c r="O110" i="5" l="1"/>
  <c r="P110" i="5" s="1"/>
  <c r="R110" i="5" s="1"/>
  <c r="I111" i="5"/>
  <c r="J111" i="5" s="1"/>
  <c r="L111" i="5" s="1"/>
  <c r="T110" i="5"/>
  <c r="N111" i="5"/>
  <c r="W111" i="5" l="1"/>
  <c r="F112" i="5" s="1"/>
  <c r="O111" i="5"/>
  <c r="P111" i="5" s="1"/>
  <c r="R111" i="5" s="1"/>
  <c r="U110" i="5"/>
  <c r="V110" i="5" s="1"/>
  <c r="H112" i="5"/>
  <c r="T111" i="5"/>
  <c r="U111" i="5" l="1"/>
  <c r="V111" i="5" s="1"/>
  <c r="I112" i="5"/>
  <c r="J112" i="5" s="1"/>
  <c r="L112" i="5" s="1"/>
  <c r="W112" i="5"/>
  <c r="F113" i="5" s="1"/>
  <c r="N112" i="5"/>
  <c r="H113" i="5"/>
  <c r="I113" i="5" l="1"/>
  <c r="J113" i="5" s="1"/>
  <c r="L113" i="5" s="1"/>
  <c r="O112" i="5"/>
  <c r="P112" i="5" s="1"/>
  <c r="R112" i="5" s="1"/>
  <c r="N113" i="5"/>
  <c r="T112" i="5"/>
  <c r="U112" i="5" l="1"/>
  <c r="V112" i="5" s="1"/>
  <c r="W113" i="5"/>
  <c r="F114" i="5" s="1"/>
  <c r="O113" i="5"/>
  <c r="P113" i="5" s="1"/>
  <c r="R113" i="5" s="1"/>
  <c r="T113" i="5"/>
  <c r="H114" i="5"/>
  <c r="I114" i="5" l="1"/>
  <c r="J114" i="5" s="1"/>
  <c r="W114" i="5" s="1"/>
  <c r="F115" i="5" s="1"/>
  <c r="U113" i="5"/>
  <c r="V113" i="5" s="1"/>
  <c r="H115" i="5"/>
  <c r="L114" i="5" l="1"/>
  <c r="I115" i="5"/>
  <c r="J115" i="5" s="1"/>
  <c r="W115" i="5" s="1"/>
  <c r="F116" i="5" s="1"/>
  <c r="L115" i="5"/>
  <c r="N114" i="5"/>
  <c r="H116" i="5"/>
  <c r="N115" i="5"/>
  <c r="O115" i="5" l="1"/>
  <c r="P115" i="5" s="1"/>
  <c r="R115" i="5" s="1"/>
  <c r="I116" i="5"/>
  <c r="J116" i="5" s="1"/>
  <c r="L116" i="5" s="1"/>
  <c r="W116" i="5"/>
  <c r="F117" i="5" s="1"/>
  <c r="O114" i="5"/>
  <c r="P114" i="5" s="1"/>
  <c r="R114" i="5" s="1"/>
  <c r="T115" i="5"/>
  <c r="N116" i="5"/>
  <c r="H117" i="5"/>
  <c r="T114" i="5"/>
  <c r="U114" i="5" l="1"/>
  <c r="V114" i="5" s="1"/>
  <c r="I117" i="5"/>
  <c r="J117" i="5" s="1"/>
  <c r="L117" i="5" s="1"/>
  <c r="W117" i="5"/>
  <c r="F118" i="5" s="1"/>
  <c r="O116" i="5"/>
  <c r="P116" i="5" s="1"/>
  <c r="R116" i="5" s="1"/>
  <c r="U115" i="5"/>
  <c r="V115" i="5" s="1"/>
  <c r="N117" i="5"/>
  <c r="H118" i="5"/>
  <c r="T116" i="5"/>
  <c r="U116" i="5" l="1"/>
  <c r="V116" i="5" s="1"/>
  <c r="I118" i="5"/>
  <c r="J118" i="5" s="1"/>
  <c r="W118" i="5" s="1"/>
  <c r="F119" i="5" s="1"/>
  <c r="O117" i="5"/>
  <c r="P117" i="5" s="1"/>
  <c r="R117" i="5" s="1"/>
  <c r="T117" i="5"/>
  <c r="H119" i="5"/>
  <c r="I119" i="5" l="1"/>
  <c r="J119" i="5" s="1"/>
  <c r="L119" i="5" s="1"/>
  <c r="W119" i="5"/>
  <c r="F120" i="5" s="1"/>
  <c r="U117" i="5"/>
  <c r="V117" i="5" s="1"/>
  <c r="L118" i="5"/>
  <c r="N119" i="5"/>
  <c r="H120" i="5"/>
  <c r="N118" i="5"/>
  <c r="O118" i="5" l="1"/>
  <c r="P118" i="5" s="1"/>
  <c r="R118" i="5" s="1"/>
  <c r="I120" i="5"/>
  <c r="J120" i="5" s="1"/>
  <c r="O119" i="5"/>
  <c r="P119" i="5" s="1"/>
  <c r="R119" i="5" s="1"/>
  <c r="T118" i="5"/>
  <c r="T119" i="5"/>
  <c r="L120" i="5" l="1"/>
  <c r="W120" i="5"/>
  <c r="F121" i="5" s="1"/>
  <c r="U119" i="5"/>
  <c r="V119" i="5" s="1"/>
  <c r="U118" i="5"/>
  <c r="V118" i="5" s="1"/>
  <c r="N120" i="5"/>
  <c r="H121" i="5"/>
  <c r="I121" i="5" l="1"/>
  <c r="J121" i="5" s="1"/>
  <c r="L121" i="5"/>
  <c r="W121" i="5"/>
  <c r="F122" i="5" s="1"/>
  <c r="O120" i="5"/>
  <c r="P120" i="5" s="1"/>
  <c r="R120" i="5" s="1"/>
  <c r="N121" i="5"/>
  <c r="H122" i="5"/>
  <c r="T120" i="5"/>
  <c r="U120" i="5" l="1"/>
  <c r="V120" i="5" s="1"/>
  <c r="I122" i="5"/>
  <c r="J122" i="5" s="1"/>
  <c r="W122" i="5" s="1"/>
  <c r="F123" i="5" s="1"/>
  <c r="O121" i="5"/>
  <c r="P121" i="5" s="1"/>
  <c r="R121" i="5" s="1"/>
  <c r="T121" i="5"/>
  <c r="H123" i="5"/>
  <c r="I123" i="5" l="1"/>
  <c r="J123" i="5" s="1"/>
  <c r="L123" i="5" s="1"/>
  <c r="W123" i="5"/>
  <c r="F124" i="5" s="1"/>
  <c r="U121" i="5"/>
  <c r="V121" i="5" s="1"/>
  <c r="L122" i="5"/>
  <c r="N123" i="5"/>
  <c r="H124" i="5"/>
  <c r="N122" i="5"/>
  <c r="O122" i="5" l="1"/>
  <c r="P122" i="5" s="1"/>
  <c r="R122" i="5" s="1"/>
  <c r="I124" i="5"/>
  <c r="J124" i="5" s="1"/>
  <c r="O123" i="5"/>
  <c r="P123" i="5" s="1"/>
  <c r="R123" i="5" s="1"/>
  <c r="T122" i="5"/>
  <c r="T123" i="5"/>
  <c r="U123" i="5" l="1"/>
  <c r="V123" i="5" s="1"/>
  <c r="L124" i="5"/>
  <c r="W124" i="5"/>
  <c r="F125" i="5" s="1"/>
  <c r="U122" i="5"/>
  <c r="V122" i="5" s="1"/>
  <c r="H125" i="5"/>
  <c r="N124" i="5"/>
  <c r="O124" i="5" l="1"/>
  <c r="P124" i="5" s="1"/>
  <c r="R124" i="5" s="1"/>
  <c r="I125" i="5"/>
  <c r="J125" i="5" s="1"/>
  <c r="T124" i="5"/>
  <c r="L125" i="5" l="1"/>
  <c r="W125" i="5"/>
  <c r="F126" i="5" s="1"/>
  <c r="U124" i="5"/>
  <c r="V124" i="5" s="1"/>
  <c r="N125" i="5"/>
  <c r="H126" i="5"/>
  <c r="I126" i="5" l="1"/>
  <c r="J126" i="5" s="1"/>
  <c r="O125" i="5"/>
  <c r="P125" i="5" s="1"/>
  <c r="R125" i="5" s="1"/>
  <c r="T125" i="5"/>
  <c r="U125" i="5" l="1"/>
  <c r="V125" i="5" s="1"/>
  <c r="W126" i="5"/>
  <c r="F127" i="5" s="1"/>
  <c r="L126" i="5"/>
  <c r="H127" i="5"/>
  <c r="N126" i="5"/>
  <c r="O126" i="5" l="1"/>
  <c r="P126" i="5" s="1"/>
  <c r="R126" i="5" s="1"/>
  <c r="I127" i="5"/>
  <c r="J127" i="5" s="1"/>
  <c r="L127" i="5" s="1"/>
  <c r="T126" i="5"/>
  <c r="N127" i="5"/>
  <c r="O127" i="5" l="1"/>
  <c r="P127" i="5" s="1"/>
  <c r="R127" i="5" s="1"/>
  <c r="W127" i="5"/>
  <c r="F128" i="5" s="1"/>
  <c r="U126" i="5"/>
  <c r="V126" i="5" s="1"/>
  <c r="H128" i="5"/>
  <c r="T127" i="5"/>
  <c r="U127" i="5" l="1"/>
  <c r="V127" i="5" s="1"/>
  <c r="I128" i="5"/>
  <c r="J128" i="5" s="1"/>
  <c r="W128" i="5" s="1"/>
  <c r="F129" i="5" s="1"/>
  <c r="H129" i="5"/>
  <c r="I129" i="5" l="1"/>
  <c r="J129" i="5" s="1"/>
  <c r="W129" i="5" s="1"/>
  <c r="F130" i="5" s="1"/>
  <c r="L129" i="5"/>
  <c r="L128" i="5"/>
  <c r="H130" i="5"/>
  <c r="N129" i="5"/>
  <c r="N128" i="5"/>
  <c r="O128" i="5" l="1"/>
  <c r="P128" i="5" s="1"/>
  <c r="R128" i="5" s="1"/>
  <c r="O129" i="5"/>
  <c r="P129" i="5" s="1"/>
  <c r="R129" i="5" s="1"/>
  <c r="I130" i="5"/>
  <c r="J130" i="5" s="1"/>
  <c r="W130" i="5" s="1"/>
  <c r="F131" i="5" s="1"/>
  <c r="L130" i="5"/>
  <c r="T128" i="5"/>
  <c r="H131" i="5"/>
  <c r="N130" i="5"/>
  <c r="T129" i="5"/>
  <c r="U129" i="5" l="1"/>
  <c r="V129" i="5" s="1"/>
  <c r="O130" i="5"/>
  <c r="P130" i="5" s="1"/>
  <c r="R130" i="5" s="1"/>
  <c r="I131" i="5"/>
  <c r="J131" i="5" s="1"/>
  <c r="W131" i="5" s="1"/>
  <c r="F132" i="5" s="1"/>
  <c r="U128" i="5"/>
  <c r="V128" i="5" s="1"/>
  <c r="H132" i="5"/>
  <c r="T130" i="5"/>
  <c r="L131" i="5" l="1"/>
  <c r="U130" i="5"/>
  <c r="V130" i="5" s="1"/>
  <c r="I132" i="5"/>
  <c r="J132" i="5" s="1"/>
  <c r="L132" i="5" s="1"/>
  <c r="W132" i="5"/>
  <c r="F133" i="5" s="1"/>
  <c r="N131" i="5"/>
  <c r="N132" i="5"/>
  <c r="H133" i="5"/>
  <c r="I133" i="5" l="1"/>
  <c r="J133" i="5" s="1"/>
  <c r="O132" i="5"/>
  <c r="P132" i="5" s="1"/>
  <c r="R132" i="5" s="1"/>
  <c r="O131" i="5"/>
  <c r="P131" i="5" s="1"/>
  <c r="R131" i="5" s="1"/>
  <c r="T131" i="5"/>
  <c r="T132" i="5"/>
  <c r="U132" i="5" l="1"/>
  <c r="V132" i="5" s="1"/>
  <c r="U131" i="5"/>
  <c r="V131" i="5" s="1"/>
  <c r="W133" i="5"/>
  <c r="F134" i="5" s="1"/>
  <c r="L133" i="5"/>
  <c r="H134" i="5"/>
  <c r="N133" i="5"/>
  <c r="O133" i="5" l="1"/>
  <c r="P133" i="5" s="1"/>
  <c r="R133" i="5" s="1"/>
  <c r="I134" i="5"/>
  <c r="J134" i="5" s="1"/>
  <c r="L134" i="5" s="1"/>
  <c r="W134" i="5"/>
  <c r="F135" i="5" s="1"/>
  <c r="T133" i="5"/>
  <c r="N134" i="5"/>
  <c r="H135" i="5"/>
  <c r="I135" i="5" l="1"/>
  <c r="J135" i="5" s="1"/>
  <c r="O134" i="5"/>
  <c r="P134" i="5" s="1"/>
  <c r="R134" i="5" s="1"/>
  <c r="U133" i="5"/>
  <c r="V133" i="5" s="1"/>
  <c r="T134" i="5"/>
  <c r="U134" i="5" l="1"/>
  <c r="V134" i="5" s="1"/>
  <c r="W135" i="5"/>
  <c r="F136" i="5" s="1"/>
  <c r="L135" i="5"/>
  <c r="H136" i="5"/>
  <c r="N135" i="5"/>
  <c r="O135" i="5" l="1"/>
  <c r="P135" i="5" s="1"/>
  <c r="R135" i="5" s="1"/>
  <c r="I136" i="5"/>
  <c r="J136" i="5" s="1"/>
  <c r="L136" i="5" s="1"/>
  <c r="T135" i="5"/>
  <c r="N136" i="5"/>
  <c r="O136" i="5" l="1"/>
  <c r="P136" i="5" s="1"/>
  <c r="R136" i="5" s="1"/>
  <c r="W136" i="5"/>
  <c r="F137" i="5" s="1"/>
  <c r="U135" i="5"/>
  <c r="V135" i="5" s="1"/>
  <c r="T136" i="5"/>
  <c r="H137" i="5"/>
  <c r="I137" i="5" l="1"/>
  <c r="J137" i="5" s="1"/>
  <c r="L137" i="5" s="1"/>
  <c r="U136" i="5"/>
  <c r="V136" i="5" s="1"/>
  <c r="N137" i="5"/>
  <c r="W137" i="5" l="1"/>
  <c r="F138" i="5" s="1"/>
  <c r="O137" i="5"/>
  <c r="P137" i="5" s="1"/>
  <c r="R137" i="5" s="1"/>
  <c r="H138" i="5"/>
  <c r="T137" i="5"/>
  <c r="U137" i="5" l="1"/>
  <c r="V137" i="5" s="1"/>
  <c r="I138" i="5"/>
  <c r="J138" i="5" s="1"/>
  <c r="W138" i="5" s="1"/>
  <c r="F139" i="5" s="1"/>
  <c r="H139" i="5"/>
  <c r="L138" i="5" l="1"/>
  <c r="I139" i="5"/>
  <c r="J139" i="5" s="1"/>
  <c r="W139" i="5" s="1"/>
  <c r="F140" i="5" s="1"/>
  <c r="L139" i="5"/>
  <c r="N139" i="5"/>
  <c r="N138" i="5"/>
  <c r="H140" i="5"/>
  <c r="I140" i="5" l="1"/>
  <c r="J140" i="5" s="1"/>
  <c r="W140" i="5" s="1"/>
  <c r="F141" i="5" s="1"/>
  <c r="L140" i="5"/>
  <c r="O138" i="5"/>
  <c r="P138" i="5" s="1"/>
  <c r="R138" i="5" s="1"/>
  <c r="O139" i="5"/>
  <c r="P139" i="5" s="1"/>
  <c r="R139" i="5" s="1"/>
  <c r="H141" i="5"/>
  <c r="N140" i="5"/>
  <c r="T138" i="5"/>
  <c r="T139" i="5"/>
  <c r="U139" i="5" l="1"/>
  <c r="V139" i="5" s="1"/>
  <c r="U138" i="5"/>
  <c r="V138" i="5" s="1"/>
  <c r="O140" i="5"/>
  <c r="P140" i="5" s="1"/>
  <c r="R140" i="5" s="1"/>
  <c r="I141" i="5"/>
  <c r="J141" i="5" s="1"/>
  <c r="W141" i="5" s="1"/>
  <c r="F142" i="5" s="1"/>
  <c r="L141" i="5"/>
  <c r="T140" i="5"/>
  <c r="H142" i="5"/>
  <c r="N141" i="5"/>
  <c r="O141" i="5" l="1"/>
  <c r="P141" i="5" s="1"/>
  <c r="R141" i="5" s="1"/>
  <c r="I142" i="5"/>
  <c r="J142" i="5" s="1"/>
  <c r="L142" i="5" s="1"/>
  <c r="W142" i="5"/>
  <c r="F143" i="5" s="1"/>
  <c r="U140" i="5"/>
  <c r="V140" i="5" s="1"/>
  <c r="N142" i="5"/>
  <c r="H143" i="5"/>
  <c r="T141" i="5"/>
  <c r="U141" i="5" l="1"/>
  <c r="V141" i="5" s="1"/>
  <c r="I143" i="5"/>
  <c r="J143" i="5" s="1"/>
  <c r="O142" i="5"/>
  <c r="P142" i="5" s="1"/>
  <c r="R142" i="5" s="1"/>
  <c r="T142" i="5"/>
  <c r="U142" i="5" l="1"/>
  <c r="V142" i="5" s="1"/>
  <c r="W143" i="5"/>
  <c r="F144" i="5" s="1"/>
  <c r="L143" i="5"/>
  <c r="H144" i="5"/>
  <c r="N143" i="5"/>
  <c r="O143" i="5" l="1"/>
  <c r="P143" i="5" s="1"/>
  <c r="R143" i="5" s="1"/>
  <c r="I144" i="5"/>
  <c r="J144" i="5" s="1"/>
  <c r="W144" i="5" s="1"/>
  <c r="F145" i="5" s="1"/>
  <c r="L144" i="5"/>
  <c r="T143" i="5"/>
  <c r="H145" i="5"/>
  <c r="N144" i="5"/>
  <c r="O144" i="5" l="1"/>
  <c r="P144" i="5" s="1"/>
  <c r="R144" i="5" s="1"/>
  <c r="I145" i="5"/>
  <c r="J145" i="5" s="1"/>
  <c r="L145" i="5" s="1"/>
  <c r="W145" i="5"/>
  <c r="F146" i="5" s="1"/>
  <c r="U143" i="5"/>
  <c r="V143" i="5" s="1"/>
  <c r="N145" i="5"/>
  <c r="H146" i="5"/>
  <c r="T144" i="5"/>
  <c r="U144" i="5" l="1"/>
  <c r="V144" i="5" s="1"/>
  <c r="I146" i="5"/>
  <c r="J146" i="5" s="1"/>
  <c r="O145" i="5"/>
  <c r="P145" i="5" s="1"/>
  <c r="R145" i="5" s="1"/>
  <c r="T145" i="5"/>
  <c r="U145" i="5" l="1"/>
  <c r="V145" i="5" s="1"/>
  <c r="L146" i="5"/>
  <c r="W146" i="5"/>
  <c r="F147" i="5" s="1"/>
  <c r="N146" i="5"/>
  <c r="H147" i="5"/>
  <c r="I147" i="5" l="1"/>
  <c r="J147" i="5" s="1"/>
  <c r="W147" i="5" s="1"/>
  <c r="F148" i="5" s="1"/>
  <c r="O146" i="5"/>
  <c r="P146" i="5" s="1"/>
  <c r="R146" i="5" s="1"/>
  <c r="T146" i="5"/>
  <c r="H148" i="5"/>
  <c r="I148" i="5" l="1"/>
  <c r="J148" i="5" s="1"/>
  <c r="W148" i="5" s="1"/>
  <c r="F149" i="5" s="1"/>
  <c r="U146" i="5"/>
  <c r="V146" i="5" s="1"/>
  <c r="L147" i="5"/>
  <c r="N147" i="5"/>
  <c r="H149" i="5"/>
  <c r="I149" i="5" l="1"/>
  <c r="J149" i="5" s="1"/>
  <c r="W149" i="5" s="1"/>
  <c r="F150" i="5" s="1"/>
  <c r="O147" i="5"/>
  <c r="P147" i="5" s="1"/>
  <c r="R147" i="5" s="1"/>
  <c r="L148" i="5"/>
  <c r="T147" i="5"/>
  <c r="N148" i="5"/>
  <c r="H150" i="5"/>
  <c r="I150" i="5" l="1"/>
  <c r="J150" i="5" s="1"/>
  <c r="W150" i="5" s="1"/>
  <c r="F151" i="5" s="1"/>
  <c r="O148" i="5"/>
  <c r="P148" i="5" s="1"/>
  <c r="R148" i="5" s="1"/>
  <c r="U147" i="5"/>
  <c r="V147" i="5" s="1"/>
  <c r="L149" i="5"/>
  <c r="T148" i="5"/>
  <c r="N149" i="5"/>
  <c r="H151" i="5"/>
  <c r="I151" i="5" l="1"/>
  <c r="J151" i="5" s="1"/>
  <c r="O149" i="5"/>
  <c r="P149" i="5" s="1"/>
  <c r="R149" i="5" s="1"/>
  <c r="U148" i="5"/>
  <c r="V148" i="5" s="1"/>
  <c r="L150" i="5"/>
  <c r="T149" i="5"/>
  <c r="N150" i="5"/>
  <c r="L151" i="5" l="1"/>
  <c r="W151" i="5"/>
  <c r="F152" i="5" s="1"/>
  <c r="O150" i="5"/>
  <c r="P150" i="5" s="1"/>
  <c r="R150" i="5" s="1"/>
  <c r="U149" i="5"/>
  <c r="V149" i="5" s="1"/>
  <c r="H152" i="5"/>
  <c r="T150" i="5"/>
  <c r="N151" i="5"/>
  <c r="O151" i="5" l="1"/>
  <c r="P151" i="5" s="1"/>
  <c r="R151" i="5" s="1"/>
  <c r="U150" i="5"/>
  <c r="V150" i="5" s="1"/>
  <c r="I152" i="5"/>
  <c r="J152" i="5" s="1"/>
  <c r="W152" i="5" s="1"/>
  <c r="F153" i="5" s="1"/>
  <c r="L152" i="5"/>
  <c r="H153" i="5"/>
  <c r="N152" i="5"/>
  <c r="T151" i="5"/>
  <c r="U151" i="5" l="1"/>
  <c r="V151" i="5" s="1"/>
  <c r="O152" i="5"/>
  <c r="P152" i="5" s="1"/>
  <c r="R152" i="5" s="1"/>
  <c r="I153" i="5"/>
  <c r="J153" i="5" s="1"/>
  <c r="T152" i="5"/>
  <c r="W153" i="5" l="1"/>
  <c r="F154" i="5" s="1"/>
  <c r="L153" i="5"/>
  <c r="U152" i="5"/>
  <c r="V152" i="5" s="1"/>
  <c r="N153" i="5"/>
  <c r="H154" i="5"/>
  <c r="I154" i="5" l="1"/>
  <c r="J154" i="5" s="1"/>
  <c r="L154" i="5" s="1"/>
  <c r="O153" i="5"/>
  <c r="P153" i="5" s="1"/>
  <c r="R153" i="5" s="1"/>
  <c r="T153" i="5"/>
  <c r="N154" i="5"/>
  <c r="O154" i="5" l="1"/>
  <c r="P154" i="5" s="1"/>
  <c r="R154" i="5" s="1"/>
  <c r="U153" i="5"/>
  <c r="V153" i="5" s="1"/>
  <c r="W154" i="5"/>
  <c r="F155" i="5" s="1"/>
  <c r="H155" i="5"/>
  <c r="T154" i="5"/>
  <c r="U154" i="5" l="1"/>
  <c r="V154" i="5" s="1"/>
  <c r="I155" i="5"/>
  <c r="J155" i="5" s="1"/>
  <c r="L155" i="5" s="1"/>
  <c r="W155" i="5"/>
  <c r="F156" i="5" s="1"/>
  <c r="N155" i="5"/>
  <c r="H156" i="5"/>
  <c r="I156" i="5" l="1"/>
  <c r="J156" i="5" s="1"/>
  <c r="W156" i="5" s="1"/>
  <c r="F157" i="5" s="1"/>
  <c r="O155" i="5"/>
  <c r="P155" i="5" s="1"/>
  <c r="R155" i="5" s="1"/>
  <c r="T155" i="5"/>
  <c r="H157" i="5"/>
  <c r="I157" i="5" l="1"/>
  <c r="J157" i="5" s="1"/>
  <c r="W157" i="5" s="1"/>
  <c r="F158" i="5" s="1"/>
  <c r="L157" i="5"/>
  <c r="U155" i="5"/>
  <c r="V155" i="5" s="1"/>
  <c r="L156" i="5"/>
  <c r="H158" i="5"/>
  <c r="N156" i="5"/>
  <c r="N157" i="5"/>
  <c r="O157" i="5" l="1"/>
  <c r="P157" i="5" s="1"/>
  <c r="R157" i="5" s="1"/>
  <c r="O156" i="5"/>
  <c r="P156" i="5" s="1"/>
  <c r="R156" i="5" s="1"/>
  <c r="I158" i="5"/>
  <c r="J158" i="5" s="1"/>
  <c r="L158" i="5" s="1"/>
  <c r="W158" i="5"/>
  <c r="F159" i="5" s="1"/>
  <c r="T156" i="5"/>
  <c r="N158" i="5"/>
  <c r="H159" i="5"/>
  <c r="T157" i="5"/>
  <c r="W159" i="5" l="1"/>
  <c r="F160" i="5" s="1"/>
  <c r="U157" i="5"/>
  <c r="V157" i="5" s="1"/>
  <c r="I159" i="5"/>
  <c r="J159" i="5" s="1"/>
  <c r="L159" i="5" s="1"/>
  <c r="O158" i="5"/>
  <c r="P158" i="5" s="1"/>
  <c r="R158" i="5" s="1"/>
  <c r="U156" i="5"/>
  <c r="V156" i="5" s="1"/>
  <c r="N159" i="5"/>
  <c r="T158" i="5"/>
  <c r="H160" i="5"/>
  <c r="L160" i="5" l="1"/>
  <c r="I160" i="5"/>
  <c r="J160" i="5" s="1"/>
  <c r="W160" i="5" s="1"/>
  <c r="F161" i="5" s="1"/>
  <c r="U158" i="5"/>
  <c r="V158" i="5" s="1"/>
  <c r="O159" i="5"/>
  <c r="P159" i="5" s="1"/>
  <c r="R159" i="5" s="1"/>
  <c r="H161" i="5"/>
  <c r="T159" i="5"/>
  <c r="N160" i="5"/>
  <c r="O160" i="5" l="1"/>
  <c r="P160" i="5" s="1"/>
  <c r="R160" i="5" s="1"/>
  <c r="U159" i="5"/>
  <c r="V159" i="5" s="1"/>
  <c r="I161" i="5"/>
  <c r="J161" i="5" s="1"/>
  <c r="T160" i="5"/>
  <c r="U160" i="5" l="1"/>
  <c r="V160" i="5" s="1"/>
  <c r="L161" i="5"/>
  <c r="W161" i="5"/>
  <c r="F162" i="5" s="1"/>
  <c r="N161" i="5"/>
  <c r="H162" i="5"/>
  <c r="I162" i="5" l="1"/>
  <c r="J162" i="5" s="1"/>
  <c r="O161" i="5"/>
  <c r="P161" i="5" s="1"/>
  <c r="R161" i="5" s="1"/>
  <c r="T161" i="5"/>
  <c r="L162" i="5" l="1"/>
  <c r="W162" i="5"/>
  <c r="F163" i="5" s="1"/>
  <c r="U161" i="5"/>
  <c r="V161" i="5" s="1"/>
  <c r="H163" i="5"/>
  <c r="N162" i="5"/>
  <c r="O162" i="5" l="1"/>
  <c r="P162" i="5" s="1"/>
  <c r="R162" i="5" s="1"/>
  <c r="I163" i="5"/>
  <c r="J163" i="5" s="1"/>
  <c r="T162" i="5"/>
  <c r="U162" i="5" l="1"/>
  <c r="V162" i="5" s="1"/>
  <c r="W163" i="5"/>
  <c r="F164" i="5" s="1"/>
  <c r="L163" i="5"/>
  <c r="H164" i="5"/>
  <c r="N163" i="5"/>
  <c r="O163" i="5" l="1"/>
  <c r="P163" i="5" s="1"/>
  <c r="R163" i="5" s="1"/>
  <c r="I164" i="5"/>
  <c r="J164" i="5" s="1"/>
  <c r="L164" i="5" s="1"/>
  <c r="W164" i="5"/>
  <c r="F165" i="5" s="1"/>
  <c r="N164" i="5"/>
  <c r="H165" i="5"/>
  <c r="T163" i="5"/>
  <c r="U163" i="5" l="1"/>
  <c r="V163" i="5" s="1"/>
  <c r="I165" i="5"/>
  <c r="J165" i="5" s="1"/>
  <c r="O164" i="5"/>
  <c r="P164" i="5" s="1"/>
  <c r="R164" i="5" s="1"/>
  <c r="T164" i="5"/>
  <c r="U164" i="5" l="1"/>
  <c r="V164" i="5" s="1"/>
  <c r="L165" i="5"/>
  <c r="W165" i="5"/>
  <c r="F166" i="5" s="1"/>
  <c r="N165" i="5"/>
  <c r="H166" i="5"/>
  <c r="I166" i="5" l="1"/>
  <c r="J166" i="5" s="1"/>
  <c r="L166" i="5" s="1"/>
  <c r="W166" i="5"/>
  <c r="F167" i="5" s="1"/>
  <c r="O165" i="5"/>
  <c r="P165" i="5" s="1"/>
  <c r="R165" i="5" s="1"/>
  <c r="N166" i="5"/>
  <c r="H167" i="5"/>
  <c r="T165" i="5"/>
  <c r="U165" i="5" l="1"/>
  <c r="V165" i="5" s="1"/>
  <c r="I167" i="5"/>
  <c r="J167" i="5" s="1"/>
  <c r="O166" i="5"/>
  <c r="P166" i="5" s="1"/>
  <c r="R166" i="5" s="1"/>
  <c r="T166" i="5"/>
  <c r="U166" i="5" l="1"/>
  <c r="V166" i="5" s="1"/>
  <c r="W167" i="5"/>
  <c r="F168" i="5" s="1"/>
  <c r="L167" i="5"/>
  <c r="H168" i="5"/>
  <c r="N167" i="5"/>
  <c r="O167" i="5" l="1"/>
  <c r="P167" i="5" s="1"/>
  <c r="R167" i="5" s="1"/>
  <c r="I168" i="5"/>
  <c r="J168" i="5" s="1"/>
  <c r="W168" i="5" s="1"/>
  <c r="F169" i="5" s="1"/>
  <c r="H169" i="5"/>
  <c r="T167" i="5"/>
  <c r="U167" i="5" l="1"/>
  <c r="V167" i="5" s="1"/>
  <c r="I169" i="5"/>
  <c r="J169" i="5" s="1"/>
  <c r="W169" i="5" s="1"/>
  <c r="F170" i="5" s="1"/>
  <c r="L169" i="5"/>
  <c r="L168" i="5"/>
  <c r="H170" i="5"/>
  <c r="N169" i="5"/>
  <c r="N168" i="5"/>
  <c r="O168" i="5" l="1"/>
  <c r="P168" i="5" s="1"/>
  <c r="R168" i="5" s="1"/>
  <c r="O169" i="5"/>
  <c r="P169" i="5" s="1"/>
  <c r="R169" i="5" s="1"/>
  <c r="I170" i="5"/>
  <c r="J170" i="5" s="1"/>
  <c r="L170" i="5" s="1"/>
  <c r="W170" i="5"/>
  <c r="F171" i="5" s="1"/>
  <c r="T169" i="5"/>
  <c r="N170" i="5"/>
  <c r="H171" i="5"/>
  <c r="T168" i="5"/>
  <c r="U168" i="5" l="1"/>
  <c r="V168" i="5" s="1"/>
  <c r="I171" i="5"/>
  <c r="J171" i="5" s="1"/>
  <c r="L171" i="5" s="1"/>
  <c r="W171" i="5"/>
  <c r="F172" i="5" s="1"/>
  <c r="O170" i="5"/>
  <c r="P170" i="5" s="1"/>
  <c r="R170" i="5" s="1"/>
  <c r="U169" i="5"/>
  <c r="V169" i="5" s="1"/>
  <c r="N171" i="5"/>
  <c r="H172" i="5"/>
  <c r="T170" i="5"/>
  <c r="U170" i="5" l="1"/>
  <c r="V170" i="5" s="1"/>
  <c r="I172" i="5"/>
  <c r="J172" i="5" s="1"/>
  <c r="O171" i="5"/>
  <c r="P171" i="5" s="1"/>
  <c r="R171" i="5" s="1"/>
  <c r="T171" i="5"/>
  <c r="U171" i="5" l="1"/>
  <c r="V171" i="5" s="1"/>
  <c r="L172" i="5"/>
  <c r="W172" i="5"/>
  <c r="F173" i="5" s="1"/>
  <c r="N172" i="5"/>
  <c r="H173" i="5"/>
  <c r="I173" i="5" l="1"/>
  <c r="J173" i="5" s="1"/>
  <c r="O172" i="5"/>
  <c r="P172" i="5" s="1"/>
  <c r="R172" i="5" s="1"/>
  <c r="T172" i="5"/>
  <c r="U172" i="5" l="1"/>
  <c r="V172" i="5" s="1"/>
  <c r="W173" i="5"/>
  <c r="F174" i="5" s="1"/>
  <c r="L173" i="5"/>
  <c r="H174" i="5"/>
  <c r="N173" i="5"/>
  <c r="O173" i="5" l="1"/>
  <c r="P173" i="5" s="1"/>
  <c r="R173" i="5" s="1"/>
  <c r="I174" i="5"/>
  <c r="J174" i="5" s="1"/>
  <c r="W174" i="5" s="1"/>
  <c r="F175" i="5" s="1"/>
  <c r="L174" i="5"/>
  <c r="T173" i="5"/>
  <c r="H175" i="5"/>
  <c r="N174" i="5"/>
  <c r="O174" i="5" l="1"/>
  <c r="P174" i="5" s="1"/>
  <c r="R174" i="5" s="1"/>
  <c r="I175" i="5"/>
  <c r="J175" i="5" s="1"/>
  <c r="L175" i="5" s="1"/>
  <c r="W175" i="5"/>
  <c r="F176" i="5" s="1"/>
  <c r="U173" i="5"/>
  <c r="V173" i="5" s="1"/>
  <c r="T174" i="5"/>
  <c r="H176" i="5"/>
  <c r="N175" i="5"/>
  <c r="O175" i="5" l="1"/>
  <c r="P175" i="5" s="1"/>
  <c r="R175" i="5" s="1"/>
  <c r="I176" i="5"/>
  <c r="J176" i="5" s="1"/>
  <c r="L176" i="5" s="1"/>
  <c r="U174" i="5"/>
  <c r="V174" i="5" s="1"/>
  <c r="T175" i="5"/>
  <c r="N176" i="5"/>
  <c r="O176" i="5" l="1"/>
  <c r="P176" i="5" s="1"/>
  <c r="R176" i="5" s="1"/>
  <c r="W176" i="5"/>
  <c r="F177" i="5" s="1"/>
  <c r="U175" i="5"/>
  <c r="V175" i="5" s="1"/>
  <c r="T176" i="5"/>
  <c r="H177" i="5"/>
  <c r="I177" i="5" l="1"/>
  <c r="J177" i="5" s="1"/>
  <c r="W177" i="5" s="1"/>
  <c r="F178" i="5" s="1"/>
  <c r="U176" i="5"/>
  <c r="V176" i="5" s="1"/>
  <c r="H178" i="5"/>
  <c r="L177" i="5" l="1"/>
  <c r="I178" i="5"/>
  <c r="J178" i="5" s="1"/>
  <c r="L178" i="5" s="1"/>
  <c r="W178" i="5"/>
  <c r="F179" i="5" s="1"/>
  <c r="N177" i="5"/>
  <c r="N178" i="5"/>
  <c r="H179" i="5"/>
  <c r="I179" i="5" l="1"/>
  <c r="J179" i="5" s="1"/>
  <c r="L179" i="5" s="1"/>
  <c r="W179" i="5"/>
  <c r="F180" i="5" s="1"/>
  <c r="O178" i="5"/>
  <c r="P178" i="5" s="1"/>
  <c r="R178" i="5" s="1"/>
  <c r="O177" i="5"/>
  <c r="P177" i="5" s="1"/>
  <c r="R177" i="5" s="1"/>
  <c r="I180" i="5"/>
  <c r="N179" i="5"/>
  <c r="H180" i="5"/>
  <c r="T178" i="5"/>
  <c r="T177" i="5"/>
  <c r="J180" i="5" l="1"/>
  <c r="W180" i="5" s="1"/>
  <c r="F181" i="5" s="1"/>
  <c r="U177" i="5"/>
  <c r="V177" i="5" s="1"/>
  <c r="U178" i="5"/>
  <c r="V178" i="5" s="1"/>
  <c r="O179" i="5"/>
  <c r="P179" i="5" s="1"/>
  <c r="R179" i="5" s="1"/>
  <c r="I181" i="5"/>
  <c r="L180" i="5"/>
  <c r="H181" i="5"/>
  <c r="T179" i="5"/>
  <c r="N180" i="5"/>
  <c r="J181" i="5" l="1"/>
  <c r="W181" i="5" s="1"/>
  <c r="F182" i="5" s="1"/>
  <c r="U179" i="5"/>
  <c r="V179" i="5" s="1"/>
  <c r="O180" i="5"/>
  <c r="P180" i="5" s="1"/>
  <c r="R180" i="5" s="1"/>
  <c r="L181" i="5"/>
  <c r="I182" i="5"/>
  <c r="H182" i="5"/>
  <c r="T180" i="5"/>
  <c r="J182" i="5" l="1"/>
  <c r="L182" i="5" s="1"/>
  <c r="O182" i="5"/>
  <c r="O181" i="5"/>
  <c r="W182" i="5"/>
  <c r="F183" i="5" s="1"/>
  <c r="U180" i="5"/>
  <c r="V180" i="5" s="1"/>
  <c r="N181" i="5"/>
  <c r="N182" i="5"/>
  <c r="H183" i="5"/>
  <c r="P181" i="5" l="1"/>
  <c r="R181" i="5" s="1"/>
  <c r="P182" i="5"/>
  <c r="R182" i="5" s="1"/>
  <c r="U181" i="5"/>
  <c r="I183" i="5"/>
  <c r="J183" i="5" s="1"/>
  <c r="W183" i="5" s="1"/>
  <c r="F184" i="5" s="1"/>
  <c r="U182" i="5"/>
  <c r="T181" i="5"/>
  <c r="T182" i="5"/>
  <c r="H184" i="5"/>
  <c r="V182" i="5" l="1"/>
  <c r="V181" i="5"/>
  <c r="L183" i="5"/>
  <c r="I184" i="5"/>
  <c r="J184" i="5" s="1"/>
  <c r="L184" i="5" s="1"/>
  <c r="N184" i="5"/>
  <c r="N183" i="5"/>
  <c r="W184" i="5" l="1"/>
  <c r="F185" i="5" s="1"/>
  <c r="O184" i="5"/>
  <c r="P184" i="5" s="1"/>
  <c r="R184" i="5" s="1"/>
  <c r="O183" i="5"/>
  <c r="P183" i="5" s="1"/>
  <c r="R183" i="5" s="1"/>
  <c r="T184" i="5"/>
  <c r="T183" i="5"/>
  <c r="H185" i="5"/>
  <c r="U183" i="5" l="1"/>
  <c r="V183" i="5" s="1"/>
  <c r="U184" i="5"/>
  <c r="V184" i="5" s="1"/>
  <c r="I185" i="5"/>
  <c r="J185" i="5" s="1"/>
  <c r="L185" i="5" s="1"/>
  <c r="N185" i="5"/>
  <c r="W185" i="5" l="1"/>
  <c r="F186" i="5" s="1"/>
  <c r="O185" i="5"/>
  <c r="P185" i="5" s="1"/>
  <c r="R185" i="5" s="1"/>
  <c r="H186" i="5"/>
  <c r="T185" i="5"/>
  <c r="U185" i="5" l="1"/>
  <c r="V185" i="5" s="1"/>
  <c r="I186" i="5"/>
  <c r="J186" i="5" s="1"/>
  <c r="L186" i="5" s="1"/>
  <c r="N186" i="5"/>
  <c r="W186" i="5" l="1"/>
  <c r="F187" i="5" s="1"/>
  <c r="O186" i="5"/>
  <c r="P186" i="5" s="1"/>
  <c r="R186" i="5" s="1"/>
  <c r="H187" i="5"/>
  <c r="T186" i="5"/>
  <c r="U186" i="5" l="1"/>
  <c r="V186" i="5" s="1"/>
  <c r="I187" i="5"/>
  <c r="J187" i="5" s="1"/>
  <c r="W187" i="5" s="1"/>
  <c r="F188" i="5" s="1"/>
  <c r="H188" i="5"/>
  <c r="I188" i="5" l="1"/>
  <c r="J188" i="5" s="1"/>
  <c r="L188" i="5" s="1"/>
  <c r="L187" i="5"/>
  <c r="N188" i="5"/>
  <c r="N187" i="5"/>
  <c r="O187" i="5" l="1"/>
  <c r="P187" i="5" s="1"/>
  <c r="R187" i="5" s="1"/>
  <c r="W188" i="5"/>
  <c r="F189" i="5" s="1"/>
  <c r="O188" i="5"/>
  <c r="P188" i="5" s="1"/>
  <c r="R188" i="5" s="1"/>
  <c r="T187" i="5"/>
  <c r="T188" i="5"/>
  <c r="H189" i="5"/>
  <c r="U188" i="5" l="1"/>
  <c r="V188" i="5" s="1"/>
  <c r="I189" i="5"/>
  <c r="J189" i="5" s="1"/>
  <c r="L189" i="5" s="1"/>
  <c r="U187" i="5"/>
  <c r="V187" i="5" s="1"/>
  <c r="N189" i="5"/>
  <c r="O189" i="5" l="1"/>
  <c r="P189" i="5" s="1"/>
  <c r="R189" i="5" s="1"/>
  <c r="W189" i="5"/>
  <c r="F190" i="5" s="1"/>
  <c r="T189" i="5"/>
  <c r="H190" i="5"/>
  <c r="I190" i="5" l="1"/>
  <c r="J190" i="5" s="1"/>
  <c r="L190" i="5" s="1"/>
  <c r="U189" i="5"/>
  <c r="V189" i="5" s="1"/>
  <c r="N190" i="5"/>
  <c r="W190" i="5" l="1"/>
  <c r="F191" i="5" s="1"/>
  <c r="O190" i="5"/>
  <c r="P190" i="5" s="1"/>
  <c r="R190" i="5" s="1"/>
  <c r="T190" i="5"/>
  <c r="H191" i="5"/>
  <c r="U190" i="5" l="1"/>
  <c r="V190" i="5" s="1"/>
  <c r="I191" i="5"/>
  <c r="J191" i="5" s="1"/>
  <c r="W191" i="5" s="1"/>
  <c r="F192" i="5" s="1"/>
  <c r="H192" i="5"/>
  <c r="L191" i="5" l="1"/>
  <c r="I192" i="5"/>
  <c r="J192" i="5" s="1"/>
  <c r="L192" i="5" s="1"/>
  <c r="N191" i="5"/>
  <c r="N192" i="5"/>
  <c r="O192" i="5" l="1"/>
  <c r="P192" i="5" s="1"/>
  <c r="R192" i="5" s="1"/>
  <c r="W192" i="5"/>
  <c r="F193" i="5" s="1"/>
  <c r="O191" i="5"/>
  <c r="P191" i="5" s="1"/>
  <c r="R191" i="5" s="1"/>
  <c r="T192" i="5"/>
  <c r="T191" i="5"/>
  <c r="H193" i="5"/>
  <c r="U191" i="5" l="1"/>
  <c r="V191" i="5" s="1"/>
  <c r="I193" i="5"/>
  <c r="J193" i="5" s="1"/>
  <c r="W193" i="5" s="1"/>
  <c r="F194" i="5" s="1"/>
  <c r="U192" i="5"/>
  <c r="V192" i="5" s="1"/>
  <c r="H194" i="5"/>
  <c r="I194" i="5" l="1"/>
  <c r="J194" i="5" s="1"/>
  <c r="W194" i="5" s="1"/>
  <c r="F195" i="5" s="1"/>
  <c r="L193" i="5"/>
  <c r="H195" i="5"/>
  <c r="N193" i="5"/>
  <c r="O193" i="5" l="1"/>
  <c r="P193" i="5" s="1"/>
  <c r="R193" i="5" s="1"/>
  <c r="I195" i="5"/>
  <c r="J195" i="5" s="1"/>
  <c r="L195" i="5" s="1"/>
  <c r="L194" i="5"/>
  <c r="T193" i="5"/>
  <c r="N194" i="5"/>
  <c r="N195" i="5"/>
  <c r="O195" i="5" l="1"/>
  <c r="P195" i="5" s="1"/>
  <c r="R195" i="5" s="1"/>
  <c r="O194" i="5"/>
  <c r="P194" i="5" s="1"/>
  <c r="R194" i="5" s="1"/>
  <c r="W195" i="5"/>
  <c r="F196" i="5" s="1"/>
  <c r="U193" i="5"/>
  <c r="V193" i="5" s="1"/>
  <c r="T195" i="5"/>
  <c r="T194" i="5"/>
  <c r="H196" i="5"/>
  <c r="I196" i="5" l="1"/>
  <c r="J196" i="5" s="1"/>
  <c r="W196" i="5" s="1"/>
  <c r="F197" i="5" s="1"/>
  <c r="U194" i="5"/>
  <c r="V194" i="5" s="1"/>
  <c r="U195" i="5"/>
  <c r="V195" i="5" s="1"/>
  <c r="H197" i="5"/>
  <c r="L196" i="5" l="1"/>
  <c r="I197" i="5"/>
  <c r="J197" i="5" s="1"/>
  <c r="L197" i="5" s="1"/>
  <c r="N196" i="5"/>
  <c r="N197" i="5"/>
  <c r="O197" i="5" l="1"/>
  <c r="P197" i="5" s="1"/>
  <c r="R197" i="5" s="1"/>
  <c r="W197" i="5"/>
  <c r="F198" i="5" s="1"/>
  <c r="O196" i="5"/>
  <c r="P196" i="5" s="1"/>
  <c r="R196" i="5" s="1"/>
  <c r="T196" i="5"/>
  <c r="T197" i="5"/>
  <c r="H198" i="5"/>
  <c r="I198" i="5" l="1"/>
  <c r="J198" i="5" s="1"/>
  <c r="L198" i="5" s="1"/>
  <c r="U196" i="5"/>
  <c r="V196" i="5" s="1"/>
  <c r="U197" i="5"/>
  <c r="V197" i="5" s="1"/>
  <c r="N198" i="5"/>
  <c r="W198" i="5" l="1"/>
  <c r="F199" i="5" s="1"/>
  <c r="I199" i="5"/>
  <c r="O198" i="5"/>
  <c r="P198" i="5" s="1"/>
  <c r="R198" i="5" s="1"/>
  <c r="T198" i="5"/>
  <c r="H199" i="5"/>
  <c r="J199" i="5" l="1"/>
  <c r="W199" i="5" s="1"/>
  <c r="F200" i="5" s="1"/>
  <c r="I200" i="5" s="1"/>
  <c r="U198" i="5"/>
  <c r="V198" i="5" s="1"/>
  <c r="L199" i="5"/>
  <c r="H200" i="5"/>
  <c r="N199" i="5"/>
  <c r="J200" i="5" l="1"/>
  <c r="W200" i="5" s="1"/>
  <c r="F201" i="5" s="1"/>
  <c r="I201" i="5" s="1"/>
  <c r="L200" i="5"/>
  <c r="O200" i="5" s="1"/>
  <c r="O199" i="5"/>
  <c r="P199" i="5" s="1"/>
  <c r="R199" i="5" s="1"/>
  <c r="H201" i="5"/>
  <c r="T199" i="5"/>
  <c r="N200" i="5"/>
  <c r="P200" i="5" l="1"/>
  <c r="R200" i="5" s="1"/>
  <c r="J201" i="5"/>
  <c r="U200" i="5"/>
  <c r="U199" i="5"/>
  <c r="V199" i="5" s="1"/>
  <c r="T200" i="5"/>
  <c r="V200" i="5" l="1"/>
  <c r="L201" i="5"/>
  <c r="W201" i="5"/>
  <c r="F202" i="5" s="1"/>
  <c r="N201" i="5"/>
  <c r="H202" i="5"/>
  <c r="I202" i="5" l="1"/>
  <c r="J202" i="5" s="1"/>
  <c r="W202" i="5" s="1"/>
  <c r="F203" i="5" s="1"/>
  <c r="L202" i="5"/>
  <c r="O201" i="5"/>
  <c r="P201" i="5" s="1"/>
  <c r="R201" i="5" s="1"/>
  <c r="H203" i="5"/>
  <c r="N202" i="5"/>
  <c r="T201" i="5"/>
  <c r="U201" i="5" l="1"/>
  <c r="V201" i="5" s="1"/>
  <c r="O202" i="5"/>
  <c r="P202" i="5" s="1"/>
  <c r="R202" i="5" s="1"/>
  <c r="I203" i="5"/>
  <c r="J203" i="5" s="1"/>
  <c r="T202" i="5"/>
  <c r="W203" i="5" l="1"/>
  <c r="F204" i="5" s="1"/>
  <c r="L203" i="5"/>
  <c r="U202" i="5"/>
  <c r="V202" i="5" s="1"/>
  <c r="H204" i="5"/>
  <c r="N203" i="5"/>
  <c r="O203" i="5" l="1"/>
  <c r="P203" i="5" s="1"/>
  <c r="R203" i="5" s="1"/>
  <c r="I204" i="5"/>
  <c r="J204" i="5" s="1"/>
  <c r="L204" i="5" s="1"/>
  <c r="T203" i="5"/>
  <c r="N204" i="5"/>
  <c r="O204" i="5" l="1"/>
  <c r="P204" i="5" s="1"/>
  <c r="R204" i="5" s="1"/>
  <c r="W204" i="5"/>
  <c r="F205" i="5" s="1"/>
  <c r="U203" i="5"/>
  <c r="V203" i="5" s="1"/>
  <c r="T204" i="5"/>
  <c r="H205" i="5"/>
  <c r="I205" i="5" l="1"/>
  <c r="J205" i="5" s="1"/>
  <c r="L205" i="5" s="1"/>
  <c r="W205" i="5"/>
  <c r="F206" i="5" s="1"/>
  <c r="U204" i="5"/>
  <c r="V204" i="5" s="1"/>
  <c r="N205" i="5"/>
  <c r="H206" i="5"/>
  <c r="I206" i="5" l="1"/>
  <c r="J206" i="5" s="1"/>
  <c r="W206" i="5" s="1"/>
  <c r="F207" i="5" s="1"/>
  <c r="O205" i="5"/>
  <c r="P205" i="5" s="1"/>
  <c r="R205" i="5" s="1"/>
  <c r="H207" i="5"/>
  <c r="T205" i="5"/>
  <c r="U205" i="5" l="1"/>
  <c r="V205" i="5" s="1"/>
  <c r="L206" i="5"/>
  <c r="I207" i="5"/>
  <c r="J207" i="5" s="1"/>
  <c r="W207" i="5" s="1"/>
  <c r="F208" i="5" s="1"/>
  <c r="N206" i="5"/>
  <c r="H208" i="5"/>
  <c r="I208" i="5" l="1"/>
  <c r="J208" i="5" s="1"/>
  <c r="W208" i="5" s="1"/>
  <c r="F209" i="5" s="1"/>
  <c r="O206" i="5"/>
  <c r="P206" i="5" s="1"/>
  <c r="R206" i="5" s="1"/>
  <c r="L207" i="5"/>
  <c r="T206" i="5"/>
  <c r="N207" i="5"/>
  <c r="H209" i="5"/>
  <c r="I209" i="5" l="1"/>
  <c r="J209" i="5" s="1"/>
  <c r="L209" i="5" s="1"/>
  <c r="O207" i="5"/>
  <c r="P207" i="5" s="1"/>
  <c r="R207" i="5" s="1"/>
  <c r="U206" i="5"/>
  <c r="V206" i="5" s="1"/>
  <c r="L208" i="5"/>
  <c r="T207" i="5"/>
  <c r="N209" i="5"/>
  <c r="N208" i="5"/>
  <c r="O208" i="5" l="1"/>
  <c r="P208" i="5" s="1"/>
  <c r="R208" i="5" s="1"/>
  <c r="O209" i="5"/>
  <c r="P209" i="5" s="1"/>
  <c r="R209" i="5" s="1"/>
  <c r="U207" i="5"/>
  <c r="V207" i="5" s="1"/>
  <c r="W209" i="5"/>
  <c r="F210" i="5" s="1"/>
  <c r="T208" i="5"/>
  <c r="T209" i="5"/>
  <c r="H210" i="5"/>
  <c r="I210" i="5" l="1"/>
  <c r="J210" i="5" s="1"/>
  <c r="L210" i="5" s="1"/>
  <c r="U209" i="5"/>
  <c r="V209" i="5" s="1"/>
  <c r="U208" i="5"/>
  <c r="V208" i="5" s="1"/>
  <c r="N210" i="5"/>
  <c r="O210" i="5" l="1"/>
  <c r="P210" i="5" s="1"/>
  <c r="R210" i="5" s="1"/>
  <c r="W210" i="5"/>
  <c r="F211" i="5" s="1"/>
  <c r="H211" i="5"/>
  <c r="T210" i="5"/>
  <c r="U210" i="5" l="1"/>
  <c r="V210" i="5" s="1"/>
  <c r="I211" i="5"/>
  <c r="J211" i="5" s="1"/>
  <c r="W211" i="5" s="1"/>
  <c r="F212" i="5" s="1"/>
  <c r="H212" i="5"/>
  <c r="L211" i="5" l="1"/>
  <c r="I212" i="5"/>
  <c r="J212" i="5" s="1"/>
  <c r="W212" i="5" s="1"/>
  <c r="N211" i="5"/>
  <c r="L212" i="5" l="1"/>
  <c r="O211" i="5"/>
  <c r="P211" i="5" s="1"/>
  <c r="R211" i="5" s="1"/>
  <c r="T211" i="5"/>
  <c r="N212" i="5"/>
  <c r="O212" i="5" l="1"/>
  <c r="P212" i="5" s="1"/>
  <c r="R212" i="5" s="1"/>
  <c r="U211" i="5"/>
  <c r="V211" i="5" s="1"/>
  <c r="T212" i="5"/>
  <c r="U212" i="5" l="1"/>
  <c r="V212" i="5" s="1"/>
</calcChain>
</file>

<file path=xl/sharedStrings.xml><?xml version="1.0" encoding="utf-8"?>
<sst xmlns="http://schemas.openxmlformats.org/spreadsheetml/2006/main" count="105" uniqueCount="45">
  <si>
    <t>Constants</t>
  </si>
  <si>
    <t xml:space="preserve">b = </t>
  </si>
  <si>
    <t xml:space="preserve">k = </t>
  </si>
  <si>
    <t>ft</t>
  </si>
  <si>
    <t xml:space="preserve">C1 = </t>
  </si>
  <si>
    <t>cfs</t>
  </si>
  <si>
    <t>hypsometry</t>
  </si>
  <si>
    <t>Elev (ft)</t>
  </si>
  <si>
    <t>Area (ac)</t>
  </si>
  <si>
    <t>Area (ft^2)</t>
  </si>
  <si>
    <t>Conversions</t>
  </si>
  <si>
    <t>ac to ft^2</t>
  </si>
  <si>
    <t>Tidal Timeseries</t>
  </si>
  <si>
    <t>Time</t>
  </si>
  <si>
    <t>Initial Conditions</t>
  </si>
  <si>
    <t xml:space="preserve">hp(0) = </t>
  </si>
  <si>
    <t xml:space="preserve">delx = </t>
  </si>
  <si>
    <t xml:space="preserve">delt = </t>
  </si>
  <si>
    <t xml:space="preserve">t(0) = </t>
  </si>
  <si>
    <t>del t</t>
  </si>
  <si>
    <t>t</t>
  </si>
  <si>
    <t>steps</t>
  </si>
  <si>
    <t>hp(t)</t>
  </si>
  <si>
    <t>sec to day</t>
  </si>
  <si>
    <t>t+del t/2</t>
  </si>
  <si>
    <t>hp(t)+K1*del t/2</t>
  </si>
  <si>
    <t>K2</t>
  </si>
  <si>
    <t>K1</t>
  </si>
  <si>
    <t>int ht(t)</t>
  </si>
  <si>
    <t>int A(hp(t))</t>
  </si>
  <si>
    <t>int ht(t+del t/2)</t>
  </si>
  <si>
    <t>int A(hp(t)+K1*del t/2)</t>
  </si>
  <si>
    <t>head</t>
  </si>
  <si>
    <t>+ in / - out</t>
  </si>
  <si>
    <t>t + del t</t>
  </si>
  <si>
    <t>hp(t)-K1*del t+2*K2*del t</t>
  </si>
  <si>
    <t>int ht (t+del t)</t>
  </si>
  <si>
    <t>int A(hp(t)-K1*del t+2*K2*del t)</t>
  </si>
  <si>
    <t>K3</t>
  </si>
  <si>
    <t>hp(t+del t)</t>
  </si>
  <si>
    <t xml:space="preserve">inv = </t>
  </si>
  <si>
    <t>ft MSL</t>
  </si>
  <si>
    <t>A_Range</t>
  </si>
  <si>
    <t>B_Range</t>
  </si>
  <si>
    <t>xVal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</si>
</sst>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0" xfId="0" applyBorder="1"/>
    <xf numFmtId="0" fontId="0" fillId="0" borderId="2" xfId="0" applyBorder="1"/>
    <xf numFmtId="0" fontId="0" fillId="0" borderId="0" xfId="0" applyFill="1" applyBorder="1"/>
    <xf numFmtId="0" fontId="0" fillId="0" borderId="1" xfId="0" quotePrefix="1" applyBorder="1"/>
    <xf numFmtId="0" fontId="0" fillId="0" borderId="4" xfId="0" applyBorder="1"/>
    <xf numFmtId="0" fontId="0" fillId="0" borderId="2" xfId="0" applyFill="1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650693883235867E-2"/>
          <c:y val="1.1087528291039234E-2"/>
          <c:w val="0.92583918307722168"/>
          <c:h val="0.92391512537227982"/>
        </c:manualLayout>
      </c:layout>
      <c:scatterChart>
        <c:scatterStyle val="lineMarker"/>
        <c:varyColors val="0"/>
        <c:ser>
          <c:idx val="0"/>
          <c:order val="0"/>
          <c:tx>
            <c:v>Ocean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'del t = 0.05'!$A$15:$A$95</c:f>
              <c:numCache>
                <c:formatCode>General</c:formatCode>
                <c:ptCount val="8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0.42499999999999999</c:v>
                </c:pt>
                <c:pt idx="18">
                  <c:v>0.45</c:v>
                </c:pt>
                <c:pt idx="19">
                  <c:v>0.47499999999999998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0.57499999999999996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</c:v>
                </c:pt>
                <c:pt idx="29">
                  <c:v>0.72499999999999998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0.82499999999999996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</c:v>
                </c:pt>
                <c:pt idx="39">
                  <c:v>0.97499999999999998</c:v>
                </c:pt>
                <c:pt idx="40">
                  <c:v>1</c:v>
                </c:pt>
                <c:pt idx="41">
                  <c:v>1.0249999999999999</c:v>
                </c:pt>
                <c:pt idx="42">
                  <c:v>1.05</c:v>
                </c:pt>
                <c:pt idx="43">
                  <c:v>1.075</c:v>
                </c:pt>
                <c:pt idx="44">
                  <c:v>1.1000000000000001</c:v>
                </c:pt>
                <c:pt idx="45">
                  <c:v>1.125</c:v>
                </c:pt>
                <c:pt idx="46">
                  <c:v>1.1499999999999999</c:v>
                </c:pt>
                <c:pt idx="47">
                  <c:v>1.175</c:v>
                </c:pt>
                <c:pt idx="48">
                  <c:v>1.2</c:v>
                </c:pt>
                <c:pt idx="49">
                  <c:v>1.2250000000000001</c:v>
                </c:pt>
                <c:pt idx="50">
                  <c:v>1.25</c:v>
                </c:pt>
                <c:pt idx="51">
                  <c:v>1.2749999999999999</c:v>
                </c:pt>
                <c:pt idx="52">
                  <c:v>1.3</c:v>
                </c:pt>
                <c:pt idx="53">
                  <c:v>1.325</c:v>
                </c:pt>
                <c:pt idx="54">
                  <c:v>1.35</c:v>
                </c:pt>
                <c:pt idx="55">
                  <c:v>1.375</c:v>
                </c:pt>
                <c:pt idx="56">
                  <c:v>1.4</c:v>
                </c:pt>
                <c:pt idx="57">
                  <c:v>1.425</c:v>
                </c:pt>
                <c:pt idx="58">
                  <c:v>1.45</c:v>
                </c:pt>
                <c:pt idx="59">
                  <c:v>1.4750000000000001</c:v>
                </c:pt>
                <c:pt idx="60">
                  <c:v>1.5</c:v>
                </c:pt>
                <c:pt idx="61">
                  <c:v>1.5249999999999999</c:v>
                </c:pt>
                <c:pt idx="62">
                  <c:v>1.55</c:v>
                </c:pt>
                <c:pt idx="63">
                  <c:v>1.575</c:v>
                </c:pt>
                <c:pt idx="64">
                  <c:v>1.6</c:v>
                </c:pt>
                <c:pt idx="65">
                  <c:v>1.625</c:v>
                </c:pt>
                <c:pt idx="66">
                  <c:v>1.65</c:v>
                </c:pt>
                <c:pt idx="67">
                  <c:v>1.675</c:v>
                </c:pt>
                <c:pt idx="68">
                  <c:v>1.7</c:v>
                </c:pt>
                <c:pt idx="69">
                  <c:v>1.7250000000000001</c:v>
                </c:pt>
                <c:pt idx="70">
                  <c:v>1.75</c:v>
                </c:pt>
                <c:pt idx="71">
                  <c:v>1.7749999999999999</c:v>
                </c:pt>
                <c:pt idx="72">
                  <c:v>1.8</c:v>
                </c:pt>
                <c:pt idx="73">
                  <c:v>1.825</c:v>
                </c:pt>
                <c:pt idx="74">
                  <c:v>1.85</c:v>
                </c:pt>
                <c:pt idx="75">
                  <c:v>1.875</c:v>
                </c:pt>
                <c:pt idx="76">
                  <c:v>1.9</c:v>
                </c:pt>
                <c:pt idx="77">
                  <c:v>1.925</c:v>
                </c:pt>
                <c:pt idx="78">
                  <c:v>1.95</c:v>
                </c:pt>
                <c:pt idx="79">
                  <c:v>1.9750000000000001</c:v>
                </c:pt>
                <c:pt idx="80">
                  <c:v>2</c:v>
                </c:pt>
              </c:numCache>
            </c:numRef>
          </c:xVal>
          <c:yVal>
            <c:numRef>
              <c:f>'del t = 0.05'!$B$15:$B$95</c:f>
              <c:numCache>
                <c:formatCode>General</c:formatCode>
                <c:ptCount val="81"/>
                <c:pt idx="0">
                  <c:v>0.79793917876280029</c:v>
                </c:pt>
                <c:pt idx="1">
                  <c:v>0.92751624717269854</c:v>
                </c:pt>
                <c:pt idx="2">
                  <c:v>0.97069400137401829</c:v>
                </c:pt>
                <c:pt idx="3">
                  <c:v>0.92366036162251253</c:v>
                </c:pt>
                <c:pt idx="4">
                  <c:v>0.79099432536394998</c:v>
                </c:pt>
                <c:pt idx="5">
                  <c:v>0.58522002697754971</c:v>
                </c:pt>
                <c:pt idx="6">
                  <c:v>0.32562303683808408</c:v>
                </c:pt>
                <c:pt idx="7">
                  <c:v>3.6440906260622019E-2</c:v>
                </c:pt>
                <c:pt idx="8">
                  <c:v>-0.25540208238152112</c:v>
                </c:pt>
                <c:pt idx="9">
                  <c:v>-0.5228040303329049</c:v>
                </c:pt>
                <c:pt idx="10">
                  <c:v>-0.74100434966299378</c:v>
                </c:pt>
                <c:pt idx="11">
                  <c:v>-0.88987818261231855</c:v>
                </c:pt>
                <c:pt idx="12">
                  <c:v>-0.95579354160768759</c:v>
                </c:pt>
                <c:pt idx="13">
                  <c:v>-0.93285969416904313</c:v>
                </c:pt>
                <c:pt idx="14">
                  <c:v>-0.82345245496730368</c:v>
                </c:pt>
                <c:pt idx="15">
                  <c:v>-0.63796965868689592</c:v>
                </c:pt>
                <c:pt idx="16">
                  <c:v>-0.39384184362035035</c:v>
                </c:pt>
                <c:pt idx="17">
                  <c:v>-0.11389238208818794</c:v>
                </c:pt>
                <c:pt idx="18">
                  <c:v>0.17579848638703804</c:v>
                </c:pt>
                <c:pt idx="19">
                  <c:v>0.44832560806824961</c:v>
                </c:pt>
                <c:pt idx="20">
                  <c:v>0.6784598559465238</c:v>
                </c:pt>
                <c:pt idx="21">
                  <c:v>0.84498538253632205</c:v>
                </c:pt>
                <c:pt idx="22">
                  <c:v>0.93265649725528332</c:v>
                </c:pt>
                <c:pt idx="23">
                  <c:v>0.93359357470502891</c:v>
                </c:pt>
                <c:pt idx="24">
                  <c:v>0.8479901696493729</c:v>
                </c:pt>
                <c:pt idx="25">
                  <c:v>0.68406799024496134</c:v>
                </c:pt>
                <c:pt idx="26">
                  <c:v>0.45728652129557651</c:v>
                </c:pt>
                <c:pt idx="27">
                  <c:v>0.18888334672672652</c:v>
                </c:pt>
                <c:pt idx="28">
                  <c:v>-9.6116845796939063E-2</c:v>
                </c:pt>
                <c:pt idx="29">
                  <c:v>-0.37123772019473145</c:v>
                </c:pt>
                <c:pt idx="30">
                  <c:v>-0.6110130307625401</c:v>
                </c:pt>
                <c:pt idx="31">
                  <c:v>-0.79334555216006897</c:v>
                </c:pt>
                <c:pt idx="32">
                  <c:v>-0.90154453161394643</c:v>
                </c:pt>
                <c:pt idx="33">
                  <c:v>-0.9258537035705019</c:v>
                </c:pt>
                <c:pt idx="34">
                  <c:v>-0.8643299655410297</c:v>
                </c:pt>
                <c:pt idx="35">
                  <c:v>-0.72299368274412945</c:v>
                </c:pt>
                <c:pt idx="36">
                  <c:v>-0.51523955628278773</c:v>
                </c:pt>
                <c:pt idx="37">
                  <c:v>-0.26056570641092713</c:v>
                </c:pt>
                <c:pt idx="38">
                  <c:v>1.7258302541059645E-2</c:v>
                </c:pt>
                <c:pt idx="39">
                  <c:v>0.29241217516822959</c:v>
                </c:pt>
                <c:pt idx="40">
                  <c:v>0.53942664909606153</c:v>
                </c:pt>
                <c:pt idx="41">
                  <c:v>0.7355427007491413</c:v>
                </c:pt>
                <c:pt idx="42">
                  <c:v>0.86280949859319978</c:v>
                </c:pt>
                <c:pt idx="43">
                  <c:v>0.90972761312999828</c:v>
                </c:pt>
                <c:pt idx="44">
                  <c:v>0.87228705132655959</c:v>
                </c:pt>
                <c:pt idx="45">
                  <c:v>0.75430651465533971</c:v>
                </c:pt>
                <c:pt idx="46">
                  <c:v>0.56704554152207187</c:v>
                </c:pt>
                <c:pt idx="47">
                  <c:v>0.32812878531305528</c:v>
                </c:pt>
                <c:pt idx="48">
                  <c:v>5.988531008843001E-2</c:v>
                </c:pt>
                <c:pt idx="49">
                  <c:v>-0.21274043309473062</c:v>
                </c:pt>
                <c:pt idx="50">
                  <c:v>-0.46451030133261062</c:v>
                </c:pt>
                <c:pt idx="51">
                  <c:v>-0.67223053689543755</c:v>
                </c:pt>
                <c:pt idx="52">
                  <c:v>-0.8168894635008086</c:v>
                </c:pt>
                <c:pt idx="53">
                  <c:v>-0.88539767784459222</c:v>
                </c:pt>
                <c:pt idx="54">
                  <c:v>-0.87177143810027147</c:v>
                </c:pt>
                <c:pt idx="55">
                  <c:v>-0.77765236041631758</c:v>
                </c:pt>
                <c:pt idx="56">
                  <c:v>-0.61211858865609181</c:v>
                </c:pt>
                <c:pt idx="57">
                  <c:v>-0.39080849370232196</c:v>
                </c:pt>
                <c:pt idx="58">
                  <c:v>-0.13444155342881678</c:v>
                </c:pt>
                <c:pt idx="59">
                  <c:v>0.13312352395897298</c:v>
                </c:pt>
                <c:pt idx="60">
                  <c:v>0.38711123737441844</c:v>
                </c:pt>
                <c:pt idx="61">
                  <c:v>0.60412507554411143</c:v>
                </c:pt>
                <c:pt idx="62">
                  <c:v>0.76430374883985785</c:v>
                </c:pt>
                <c:pt idx="63">
                  <c:v>0.85313905174817839</c:v>
                </c:pt>
                <c:pt idx="64">
                  <c:v>0.8627889570761581</c:v>
                </c:pt>
                <c:pt idx="65">
                  <c:v>0.792767195336469</c:v>
                </c:pt>
                <c:pt idx="66">
                  <c:v>0.6499489540051625</c:v>
                </c:pt>
                <c:pt idx="67">
                  <c:v>0.44789596924907527</c:v>
                </c:pt>
                <c:pt idx="68">
                  <c:v>0.2055672500993741</c:v>
                </c:pt>
                <c:pt idx="69">
                  <c:v>-5.4461857624687832E-2</c:v>
                </c:pt>
                <c:pt idx="70">
                  <c:v>-0.30810478485462489</c:v>
                </c:pt>
                <c:pt idx="71">
                  <c:v>-0.5319965403805651</c:v>
                </c:pt>
                <c:pt idx="72">
                  <c:v>-0.70564706114550635</c:v>
                </c:pt>
                <c:pt idx="73">
                  <c:v>-0.81331655665364888</c:v>
                </c:pt>
                <c:pt idx="74">
                  <c:v>-0.84544119364107695</c:v>
                </c:pt>
                <c:pt idx="75">
                  <c:v>-0.7994800815258627</c:v>
                </c:pt>
                <c:pt idx="76">
                  <c:v>-0.68010880340090551</c:v>
                </c:pt>
                <c:pt idx="77">
                  <c:v>-0.49874559374688232</c:v>
                </c:pt>
                <c:pt idx="78">
                  <c:v>-0.27245801972987305</c:v>
                </c:pt>
                <c:pt idx="79">
                  <c:v>-2.2354959152045245E-2</c:v>
                </c:pt>
                <c:pt idx="80">
                  <c:v>0.22838444981258327</c:v>
                </c:pt>
              </c:numCache>
            </c:numRef>
          </c:yVal>
          <c:smooth val="0"/>
        </c:ser>
        <c:ser>
          <c:idx val="1"/>
          <c:order val="1"/>
          <c:tx>
            <c:v>Estuary del t = 0.05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'del t = 0.05'!$E$12:$E$52</c:f>
              <c:numCache>
                <c:formatCode>General</c:formatCode>
                <c:ptCount val="4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</c:numCache>
            </c:numRef>
          </c:xVal>
          <c:yVal>
            <c:numRef>
              <c:f>'del t = 0.05'!$F$12:$F$52</c:f>
              <c:numCache>
                <c:formatCode>General</c:formatCode>
                <c:ptCount val="41"/>
                <c:pt idx="0">
                  <c:v>0.8</c:v>
                </c:pt>
                <c:pt idx="1">
                  <c:v>0.83897196179683908</c:v>
                </c:pt>
                <c:pt idx="2">
                  <c:v>0.89387757390709144</c:v>
                </c:pt>
                <c:pt idx="3">
                  <c:v>0.90403433524076093</c:v>
                </c:pt>
                <c:pt idx="4">
                  <c:v>0.7423853532987692</c:v>
                </c:pt>
                <c:pt idx="5">
                  <c:v>0.35162405512255113</c:v>
                </c:pt>
                <c:pt idx="6">
                  <c:v>-0.11523205910093187</c:v>
                </c:pt>
                <c:pt idx="7">
                  <c:v>-0.44997307141279763</c:v>
                </c:pt>
                <c:pt idx="8">
                  <c:v>-0.56400624996546955</c:v>
                </c:pt>
                <c:pt idx="9">
                  <c:v>-0.53864698172336622</c:v>
                </c:pt>
                <c:pt idx="10">
                  <c:v>-0.2801528182329055</c:v>
                </c:pt>
                <c:pt idx="11">
                  <c:v>0.12042167416382143</c:v>
                </c:pt>
                <c:pt idx="12">
                  <c:v>0.43704203011832149</c:v>
                </c:pt>
                <c:pt idx="13">
                  <c:v>0.56222567554725433</c:v>
                </c:pt>
                <c:pt idx="14">
                  <c:v>0.55508260894175909</c:v>
                </c:pt>
                <c:pt idx="15">
                  <c:v>0.34217838720186644</c:v>
                </c:pt>
                <c:pt idx="16">
                  <c:v>-4.1693967236511975E-2</c:v>
                </c:pt>
                <c:pt idx="17">
                  <c:v>-0.38562523930106379</c:v>
                </c:pt>
                <c:pt idx="18">
                  <c:v>-0.54342350230954151</c:v>
                </c:pt>
                <c:pt idx="19">
                  <c:v>-0.55010076477675041</c:v>
                </c:pt>
                <c:pt idx="20">
                  <c:v>-0.36740098882024208</c:v>
                </c:pt>
                <c:pt idx="21">
                  <c:v>1.3701059535204951E-3</c:v>
                </c:pt>
                <c:pt idx="22">
                  <c:v>0.34498318268806871</c:v>
                </c:pt>
                <c:pt idx="23">
                  <c:v>0.51880500054453349</c:v>
                </c:pt>
                <c:pt idx="24">
                  <c:v>0.53418953631198707</c:v>
                </c:pt>
                <c:pt idx="25">
                  <c:v>0.40161219879637822</c:v>
                </c:pt>
                <c:pt idx="26">
                  <c:v>7.0243021643534742E-2</c:v>
                </c:pt>
                <c:pt idx="27">
                  <c:v>-0.28519224211464628</c:v>
                </c:pt>
                <c:pt idx="28">
                  <c:v>-0.49079796097524819</c:v>
                </c:pt>
                <c:pt idx="29">
                  <c:v>-0.52154921322790215</c:v>
                </c:pt>
                <c:pt idx="30">
                  <c:v>-0.41909215367343483</c:v>
                </c:pt>
                <c:pt idx="31">
                  <c:v>-0.10925235983486692</c:v>
                </c:pt>
                <c:pt idx="32">
                  <c:v>0.24070445294124465</c:v>
                </c:pt>
                <c:pt idx="33">
                  <c:v>0.45800633265482915</c:v>
                </c:pt>
                <c:pt idx="34">
                  <c:v>0.50608010638981304</c:v>
                </c:pt>
                <c:pt idx="35">
                  <c:v>0.44027546412090435</c:v>
                </c:pt>
                <c:pt idx="36">
                  <c:v>0.17445949805425465</c:v>
                </c:pt>
                <c:pt idx="37">
                  <c:v>-0.17286416562896784</c:v>
                </c:pt>
                <c:pt idx="38">
                  <c:v>-0.41825293187954876</c:v>
                </c:pt>
                <c:pt idx="39">
                  <c:v>-0.48959328570694072</c:v>
                </c:pt>
                <c:pt idx="40">
                  <c:v>-0.44868160840000648</c:v>
                </c:pt>
              </c:numCache>
            </c:numRef>
          </c:yVal>
          <c:smooth val="0"/>
        </c:ser>
        <c:ser>
          <c:idx val="2"/>
          <c:order val="2"/>
          <c:tx>
            <c:v>Estuary del t = 0.01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'del t = 0.01'!$E$12:$E$212</c:f>
              <c:numCache>
                <c:formatCode>General</c:formatCode>
                <c:ptCount val="2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</c:numCache>
            </c:numRef>
          </c:xVal>
          <c:yVal>
            <c:numRef>
              <c:f>'del t = 0.01'!$F$12:$F$212</c:f>
              <c:numCache>
                <c:formatCode>General</c:formatCode>
                <c:ptCount val="201"/>
                <c:pt idx="0">
                  <c:v>0.8</c:v>
                </c:pt>
                <c:pt idx="1">
                  <c:v>0.80690114988509631</c:v>
                </c:pt>
                <c:pt idx="2">
                  <c:v>0.81495279043318924</c:v>
                </c:pt>
                <c:pt idx="3">
                  <c:v>0.82473897985350186</c:v>
                </c:pt>
                <c:pt idx="4">
                  <c:v>0.83560313621184779</c:v>
                </c:pt>
                <c:pt idx="5">
                  <c:v>0.84686985673058968</c:v>
                </c:pt>
                <c:pt idx="6">
                  <c:v>0.85834853468173855</c:v>
                </c:pt>
                <c:pt idx="7">
                  <c:v>0.86847247321905729</c:v>
                </c:pt>
                <c:pt idx="8">
                  <c:v>0.87743655121790598</c:v>
                </c:pt>
                <c:pt idx="9">
                  <c:v>0.88486784753023129</c:v>
                </c:pt>
                <c:pt idx="10">
                  <c:v>0.89097855041128882</c:v>
                </c:pt>
                <c:pt idx="11">
                  <c:v>0.89463655235196005</c:v>
                </c:pt>
                <c:pt idx="12">
                  <c:v>0.89373511399467997</c:v>
                </c:pt>
                <c:pt idx="13">
                  <c:v>0.88749873626776177</c:v>
                </c:pt>
                <c:pt idx="14">
                  <c:v>0.87460452532089517</c:v>
                </c:pt>
                <c:pt idx="15">
                  <c:v>0.85395228647540633</c:v>
                </c:pt>
                <c:pt idx="16">
                  <c:v>0.82539539964136743</c:v>
                </c:pt>
                <c:pt idx="17">
                  <c:v>0.78792297381816845</c:v>
                </c:pt>
                <c:pt idx="18">
                  <c:v>0.74180365110676105</c:v>
                </c:pt>
                <c:pt idx="19">
                  <c:v>0.68739091249151363</c:v>
                </c:pt>
                <c:pt idx="20">
                  <c:v>0.62513964909753905</c:v>
                </c:pt>
                <c:pt idx="21">
                  <c:v>0.55566856422273314</c:v>
                </c:pt>
                <c:pt idx="22">
                  <c:v>0.48074179937004186</c:v>
                </c:pt>
                <c:pt idx="23">
                  <c:v>0.40088296644772636</c:v>
                </c:pt>
                <c:pt idx="24">
                  <c:v>0.31791280258453802</c:v>
                </c:pt>
                <c:pt idx="25">
                  <c:v>0.23335823095700514</c:v>
                </c:pt>
                <c:pt idx="26">
                  <c:v>0.14753641501115594</c:v>
                </c:pt>
                <c:pt idx="27">
                  <c:v>6.4064553791583684E-2</c:v>
                </c:pt>
                <c:pt idx="28">
                  <c:v>-1.7321119686384778E-2</c:v>
                </c:pt>
                <c:pt idx="29">
                  <c:v>-9.4660017371732463E-2</c:v>
                </c:pt>
                <c:pt idx="30">
                  <c:v>-0.16655175537739192</c:v>
                </c:pt>
                <c:pt idx="31">
                  <c:v>-0.23354547902418804</c:v>
                </c:pt>
                <c:pt idx="32">
                  <c:v>-0.29230196951899606</c:v>
                </c:pt>
                <c:pt idx="33">
                  <c:v>-0.34399156986157198</c:v>
                </c:pt>
                <c:pt idx="34">
                  <c:v>-0.38767676248496163</c:v>
                </c:pt>
                <c:pt idx="35">
                  <c:v>-0.42299544291435087</c:v>
                </c:pt>
                <c:pt idx="36">
                  <c:v>-0.45113240021667583</c:v>
                </c:pt>
                <c:pt idx="37">
                  <c:v>-0.47093042527174978</c:v>
                </c:pt>
                <c:pt idx="38">
                  <c:v>-0.48406389701267505</c:v>
                </c:pt>
                <c:pt idx="39">
                  <c:v>-0.49140429258459162</c:v>
                </c:pt>
                <c:pt idx="40">
                  <c:v>-0.4950118832926661</c:v>
                </c:pt>
                <c:pt idx="41">
                  <c:v>-0.49497466156502995</c:v>
                </c:pt>
                <c:pt idx="42">
                  <c:v>-0.48832754898608116</c:v>
                </c:pt>
                <c:pt idx="43">
                  <c:v>-0.47377648209198514</c:v>
                </c:pt>
                <c:pt idx="44">
                  <c:v>-0.45053121725130763</c:v>
                </c:pt>
                <c:pt idx="45">
                  <c:v>-0.41825507891704145</c:v>
                </c:pt>
                <c:pt idx="46">
                  <c:v>-0.37714584602733259</c:v>
                </c:pt>
                <c:pt idx="47">
                  <c:v>-0.32833796845266328</c:v>
                </c:pt>
                <c:pt idx="48">
                  <c:v>-0.27237196262441343</c:v>
                </c:pt>
                <c:pt idx="49">
                  <c:v>-0.21090784152975162</c:v>
                </c:pt>
                <c:pt idx="50">
                  <c:v>-0.14543598576194183</c:v>
                </c:pt>
                <c:pt idx="51">
                  <c:v>-7.6511842780041875E-2</c:v>
                </c:pt>
                <c:pt idx="52">
                  <c:v>-7.5258382191985829E-3</c:v>
                </c:pt>
                <c:pt idx="53">
                  <c:v>6.1492474319192914E-2</c:v>
                </c:pt>
                <c:pt idx="54">
                  <c:v>0.12853561474725578</c:v>
                </c:pt>
                <c:pt idx="55">
                  <c:v>0.19213673145009763</c:v>
                </c:pt>
                <c:pt idx="56">
                  <c:v>0.25259702022277136</c:v>
                </c:pt>
                <c:pt idx="57">
                  <c:v>0.30663417821476879</c:v>
                </c:pt>
                <c:pt idx="58">
                  <c:v>0.35516807202137274</c:v>
                </c:pt>
                <c:pt idx="59">
                  <c:v>0.39711015510377234</c:v>
                </c:pt>
                <c:pt idx="60">
                  <c:v>0.43193192184587126</c:v>
                </c:pt>
                <c:pt idx="61">
                  <c:v>0.46058513778393401</c:v>
                </c:pt>
                <c:pt idx="62">
                  <c:v>0.48166464341522053</c:v>
                </c:pt>
                <c:pt idx="63">
                  <c:v>0.49657953527324361</c:v>
                </c:pt>
                <c:pt idx="64">
                  <c:v>0.50580966907332647</c:v>
                </c:pt>
                <c:pt idx="65">
                  <c:v>0.51062771407667018</c:v>
                </c:pt>
                <c:pt idx="66">
                  <c:v>0.5128996956930133</c:v>
                </c:pt>
                <c:pt idx="67">
                  <c:v>0.50992869254734208</c:v>
                </c:pt>
                <c:pt idx="68">
                  <c:v>0.50016383774405815</c:v>
                </c:pt>
                <c:pt idx="69">
                  <c:v>0.48250650690474739</c:v>
                </c:pt>
                <c:pt idx="70">
                  <c:v>0.45629130915071459</c:v>
                </c:pt>
                <c:pt idx="71">
                  <c:v>0.42145543163368893</c:v>
                </c:pt>
                <c:pt idx="72">
                  <c:v>0.37856340708585529</c:v>
                </c:pt>
                <c:pt idx="73">
                  <c:v>0.32796974309797405</c:v>
                </c:pt>
                <c:pt idx="74">
                  <c:v>0.27097539079715682</c:v>
                </c:pt>
                <c:pt idx="75">
                  <c:v>0.20881666627358009</c:v>
                </c:pt>
                <c:pt idx="76">
                  <c:v>0.14204042795263561</c:v>
                </c:pt>
                <c:pt idx="77">
                  <c:v>7.3748042895303123E-2</c:v>
                </c:pt>
                <c:pt idx="78">
                  <c:v>4.1227506523809215E-3</c:v>
                </c:pt>
                <c:pt idx="79">
                  <c:v>-6.4783654323499473E-2</c:v>
                </c:pt>
                <c:pt idx="80">
                  <c:v>-0.13138347209590825</c:v>
                </c:pt>
                <c:pt idx="81">
                  <c:v>-0.1957841848088297</c:v>
                </c:pt>
                <c:pt idx="82">
                  <c:v>-0.25449607890839537</c:v>
                </c:pt>
                <c:pt idx="83">
                  <c:v>-0.3082500556466089</c:v>
                </c:pt>
                <c:pt idx="84">
                  <c:v>-0.35571788480523953</c:v>
                </c:pt>
                <c:pt idx="85">
                  <c:v>-0.39614108355991529</c:v>
                </c:pt>
                <c:pt idx="86">
                  <c:v>-0.43038517259180531</c:v>
                </c:pt>
                <c:pt idx="87">
                  <c:v>-0.45664636744129078</c:v>
                </c:pt>
                <c:pt idx="88">
                  <c:v>-0.47628593258635565</c:v>
                </c:pt>
                <c:pt idx="89">
                  <c:v>-0.48950918800116872</c:v>
                </c:pt>
                <c:pt idx="90">
                  <c:v>-0.49715760372487749</c:v>
                </c:pt>
                <c:pt idx="91">
                  <c:v>-0.50115043788057689</c:v>
                </c:pt>
                <c:pt idx="92">
                  <c:v>-0.50185500438534081</c:v>
                </c:pt>
                <c:pt idx="93">
                  <c:v>-0.49680963642324411</c:v>
                </c:pt>
                <c:pt idx="94">
                  <c:v>-0.48444419779619008</c:v>
                </c:pt>
                <c:pt idx="95">
                  <c:v>-0.46375222778216441</c:v>
                </c:pt>
                <c:pt idx="96">
                  <c:v>-0.43450022452050663</c:v>
                </c:pt>
                <c:pt idx="97">
                  <c:v>-0.39689699136786305</c:v>
                </c:pt>
                <c:pt idx="98">
                  <c:v>-0.3512904797407348</c:v>
                </c:pt>
                <c:pt idx="99">
                  <c:v>-0.29884972767829143</c:v>
                </c:pt>
                <c:pt idx="100">
                  <c:v>-0.24072920632605596</c:v>
                </c:pt>
                <c:pt idx="101">
                  <c:v>-0.17755471705745551</c:v>
                </c:pt>
                <c:pt idx="102">
                  <c:v>-0.11220806656466563</c:v>
                </c:pt>
                <c:pt idx="103">
                  <c:v>-4.4959232734057303E-2</c:v>
                </c:pt>
                <c:pt idx="104">
                  <c:v>2.2206933254712569E-2</c:v>
                </c:pt>
                <c:pt idx="105">
                  <c:v>8.7766247555957827E-2</c:v>
                </c:pt>
                <c:pt idx="106">
                  <c:v>0.1517719178190588</c:v>
                </c:pt>
                <c:pt idx="107">
                  <c:v>0.21086777742312238</c:v>
                </c:pt>
                <c:pt idx="108">
                  <c:v>0.26572401881585406</c:v>
                </c:pt>
                <c:pt idx="109">
                  <c:v>0.31499357365558484</c:v>
                </c:pt>
                <c:pt idx="110">
                  <c:v>0.35787752105941445</c:v>
                </c:pt>
                <c:pt idx="111">
                  <c:v>0.39515339313829967</c:v>
                </c:pt>
                <c:pt idx="112">
                  <c:v>0.42485732729279146</c:v>
                </c:pt>
                <c:pt idx="113">
                  <c:v>0.44821656608764893</c:v>
                </c:pt>
                <c:pt idx="114">
                  <c:v>0.46517604768443305</c:v>
                </c:pt>
                <c:pt idx="115">
                  <c:v>0.47620988141036763</c:v>
                </c:pt>
                <c:pt idx="116">
                  <c:v>0.48268789530995992</c:v>
                </c:pt>
                <c:pt idx="117">
                  <c:v>0.48604239796101245</c:v>
                </c:pt>
                <c:pt idx="118">
                  <c:v>0.48571125780230195</c:v>
                </c:pt>
                <c:pt idx="119">
                  <c:v>0.47955647293064657</c:v>
                </c:pt>
                <c:pt idx="120">
                  <c:v>0.46619156928529842</c:v>
                </c:pt>
                <c:pt idx="121">
                  <c:v>0.44503405440831206</c:v>
                </c:pt>
                <c:pt idx="122">
                  <c:v>0.41572864196483095</c:v>
                </c:pt>
                <c:pt idx="123">
                  <c:v>0.37833606008607135</c:v>
                </c:pt>
                <c:pt idx="124">
                  <c:v>0.33357479009836832</c:v>
                </c:pt>
                <c:pt idx="125">
                  <c:v>0.28224205546346542</c:v>
                </c:pt>
                <c:pt idx="126">
                  <c:v>0.22485218542584257</c:v>
                </c:pt>
                <c:pt idx="127">
                  <c:v>0.16383848575765642</c:v>
                </c:pt>
                <c:pt idx="128">
                  <c:v>9.9548247050443239E-2</c:v>
                </c:pt>
                <c:pt idx="129">
                  <c:v>3.3889991408142917E-2</c:v>
                </c:pt>
                <c:pt idx="130">
                  <c:v>-3.1585724427533934E-2</c:v>
                </c:pt>
                <c:pt idx="131">
                  <c:v>-9.6746014740293679E-2</c:v>
                </c:pt>
                <c:pt idx="132">
                  <c:v>-0.15817343480238352</c:v>
                </c:pt>
                <c:pt idx="133">
                  <c:v>-0.21630520149328164</c:v>
                </c:pt>
                <c:pt idx="134">
                  <c:v>-0.26958564389446715</c:v>
                </c:pt>
                <c:pt idx="135">
                  <c:v>-0.31699532812213838</c:v>
                </c:pt>
                <c:pt idx="136">
                  <c:v>-0.3591668936293364</c:v>
                </c:pt>
                <c:pt idx="137">
                  <c:v>-0.39379294290581396</c:v>
                </c:pt>
                <c:pt idx="138">
                  <c:v>-0.42201051436645864</c:v>
                </c:pt>
                <c:pt idx="139">
                  <c:v>-0.44352924704572372</c:v>
                </c:pt>
                <c:pt idx="140">
                  <c:v>-0.45858011097245155</c:v>
                </c:pt>
                <c:pt idx="141">
                  <c:v>-0.46838719238628362</c:v>
                </c:pt>
                <c:pt idx="142">
                  <c:v>-0.47341856349039502</c:v>
                </c:pt>
                <c:pt idx="143">
                  <c:v>-0.47594666088045801</c:v>
                </c:pt>
                <c:pt idx="144">
                  <c:v>-0.47394763326357575</c:v>
                </c:pt>
                <c:pt idx="145">
                  <c:v>-0.46553010528326005</c:v>
                </c:pt>
                <c:pt idx="146">
                  <c:v>-0.44980539747455339</c:v>
                </c:pt>
                <c:pt idx="147">
                  <c:v>-0.42601659193399821</c:v>
                </c:pt>
                <c:pt idx="148">
                  <c:v>-0.39410715645823169</c:v>
                </c:pt>
                <c:pt idx="149">
                  <c:v>-0.35458742657162368</c:v>
                </c:pt>
                <c:pt idx="150">
                  <c:v>-0.30811693689427538</c:v>
                </c:pt>
                <c:pt idx="151">
                  <c:v>-0.25524692745895505</c:v>
                </c:pt>
                <c:pt idx="152">
                  <c:v>-0.198155938326287</c:v>
                </c:pt>
                <c:pt idx="153">
                  <c:v>-0.13727595945266677</c:v>
                </c:pt>
                <c:pt idx="154">
                  <c:v>-7.4434154498792801E-2</c:v>
                </c:pt>
                <c:pt idx="155">
                  <c:v>-1.1112358595081515E-2</c:v>
                </c:pt>
                <c:pt idx="156">
                  <c:v>5.249277481767535E-2</c:v>
                </c:pt>
                <c:pt idx="157">
                  <c:v>0.11314363533904744</c:v>
                </c:pt>
                <c:pt idx="158">
                  <c:v>0.17121236861511366</c:v>
                </c:pt>
                <c:pt idx="159">
                  <c:v>0.22516457767183906</c:v>
                </c:pt>
                <c:pt idx="160">
                  <c:v>0.27398419349318359</c:v>
                </c:pt>
                <c:pt idx="161">
                  <c:v>0.31823049416582655</c:v>
                </c:pt>
                <c:pt idx="162">
                  <c:v>0.3555411186502751</c:v>
                </c:pt>
                <c:pt idx="163">
                  <c:v>0.38694885971156612</c:v>
                </c:pt>
                <c:pt idx="164">
                  <c:v>0.41199682688858408</c:v>
                </c:pt>
                <c:pt idx="165">
                  <c:v>0.43070598851558317</c:v>
                </c:pt>
                <c:pt idx="166">
                  <c:v>0.44410143872640678</c:v>
                </c:pt>
                <c:pt idx="167">
                  <c:v>0.45204776196195162</c:v>
                </c:pt>
                <c:pt idx="168">
                  <c:v>0.45626266263878251</c:v>
                </c:pt>
                <c:pt idx="169">
                  <c:v>0.45800161946598045</c:v>
                </c:pt>
                <c:pt idx="170">
                  <c:v>0.45503714835328601</c:v>
                </c:pt>
                <c:pt idx="171">
                  <c:v>0.44606740578217652</c:v>
                </c:pt>
                <c:pt idx="172">
                  <c:v>0.42989340578898855</c:v>
                </c:pt>
                <c:pt idx="173">
                  <c:v>0.40613845341440807</c:v>
                </c:pt>
                <c:pt idx="174">
                  <c:v>0.37485760627009374</c:v>
                </c:pt>
                <c:pt idx="175">
                  <c:v>0.33631144096436005</c:v>
                </c:pt>
                <c:pt idx="176">
                  <c:v>0.29084472646201665</c:v>
                </c:pt>
                <c:pt idx="177">
                  <c:v>0.24009082890443856</c:v>
                </c:pt>
                <c:pt idx="178">
                  <c:v>0.18444474568681704</c:v>
                </c:pt>
                <c:pt idx="179">
                  <c:v>0.12552602765920723</c:v>
                </c:pt>
                <c:pt idx="180">
                  <c:v>6.4721594206694086E-2</c:v>
                </c:pt>
                <c:pt idx="181">
                  <c:v>2.3485573993585473E-3</c:v>
                </c:pt>
                <c:pt idx="182">
                  <c:v>-5.8459068509852545E-2</c:v>
                </c:pt>
                <c:pt idx="183">
                  <c:v>-0.11785447506377743</c:v>
                </c:pt>
                <c:pt idx="184">
                  <c:v>-0.17416564576719043</c:v>
                </c:pt>
                <c:pt idx="185">
                  <c:v>-0.22620021260693385</c:v>
                </c:pt>
                <c:pt idx="186">
                  <c:v>-0.27433997470691834</c:v>
                </c:pt>
                <c:pt idx="187">
                  <c:v>-0.31596050672819381</c:v>
                </c:pt>
                <c:pt idx="188">
                  <c:v>-0.35195511819058067</c:v>
                </c:pt>
                <c:pt idx="189">
                  <c:v>-0.38164334728687427</c:v>
                </c:pt>
                <c:pt idx="190">
                  <c:v>-0.40483174807125566</c:v>
                </c:pt>
                <c:pt idx="191">
                  <c:v>-0.42246113638532851</c:v>
                </c:pt>
                <c:pt idx="192">
                  <c:v>-0.43396358131603019</c:v>
                </c:pt>
                <c:pt idx="193">
                  <c:v>-0.44078992668838612</c:v>
                </c:pt>
                <c:pt idx="194">
                  <c:v>-0.44423875849579292</c:v>
                </c:pt>
                <c:pt idx="195">
                  <c:v>-0.444829896716254</c:v>
                </c:pt>
                <c:pt idx="196">
                  <c:v>-0.44048018660199889</c:v>
                </c:pt>
                <c:pt idx="197">
                  <c:v>-0.42955075870316572</c:v>
                </c:pt>
                <c:pt idx="198">
                  <c:v>-0.41141386768575744</c:v>
                </c:pt>
                <c:pt idx="199">
                  <c:v>-0.38583383215043987</c:v>
                </c:pt>
                <c:pt idx="200">
                  <c:v>-0.35285850528337209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02368"/>
        <c:axId val="237623400"/>
      </c:scatterChart>
      <c:valAx>
        <c:axId val="237002368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(days)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23400"/>
        <c:crossesAt val="-1.5"/>
        <c:crossBetween val="midCat"/>
      </c:valAx>
      <c:valAx>
        <c:axId val="23762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Water Surface Elevation (ft MSL)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002368"/>
        <c:crossesAt val="0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470650253373865"/>
          <c:y val="0.13928752120188775"/>
          <c:w val="0.32529349746626135"/>
          <c:h val="3.40651213270128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47206" cy="629397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15"/>
  <sheetViews>
    <sheetView tabSelected="1" topLeftCell="O1" workbookViewId="0">
      <selection activeCell="W12" sqref="W12"/>
    </sheetView>
  </sheetViews>
  <sheetFormatPr defaultRowHeight="15" x14ac:dyDescent="0.25"/>
  <cols>
    <col min="3" max="3" width="10.42578125" bestFit="1" customWidth="1"/>
    <col min="6" max="6" width="12" bestFit="1" customWidth="1"/>
    <col min="8" max="8" width="11" bestFit="1" customWidth="1"/>
    <col min="9" max="9" width="11" customWidth="1"/>
    <col min="12" max="12" width="15.5703125" bestFit="1" customWidth="1"/>
    <col min="13" max="13" width="14.85546875" bestFit="1" customWidth="1"/>
    <col min="14" max="14" width="21.42578125" bestFit="1" customWidth="1"/>
    <col min="15" max="15" width="12.5703125" customWidth="1"/>
    <col min="18" max="18" width="23.85546875" bestFit="1" customWidth="1"/>
    <col min="19" max="19" width="13.42578125" bestFit="1" customWidth="1"/>
    <col min="20" max="20" width="29.7109375" bestFit="1" customWidth="1"/>
    <col min="23" max="23" width="10.42578125" bestFit="1" customWidth="1"/>
  </cols>
  <sheetData>
    <row r="1" spans="1:23" x14ac:dyDescent="0.25">
      <c r="A1" t="s">
        <v>0</v>
      </c>
      <c r="D1" t="s">
        <v>14</v>
      </c>
      <c r="J1" t="s">
        <v>10</v>
      </c>
    </row>
    <row r="2" spans="1:23" x14ac:dyDescent="0.25">
      <c r="A2" t="s">
        <v>2</v>
      </c>
      <c r="B2">
        <v>2.75</v>
      </c>
      <c r="D2" t="s">
        <v>15</v>
      </c>
      <c r="E2">
        <v>0.8</v>
      </c>
      <c r="J2" t="s">
        <v>11</v>
      </c>
      <c r="K2">
        <v>43560</v>
      </c>
    </row>
    <row r="3" spans="1:23" x14ac:dyDescent="0.25">
      <c r="A3" t="s">
        <v>1</v>
      </c>
      <c r="B3">
        <v>40</v>
      </c>
      <c r="C3" t="s">
        <v>3</v>
      </c>
      <c r="J3" t="s">
        <v>23</v>
      </c>
      <c r="K3">
        <v>86400</v>
      </c>
    </row>
    <row r="4" spans="1:23" x14ac:dyDescent="0.25">
      <c r="A4" t="s">
        <v>4</v>
      </c>
      <c r="B4">
        <v>0</v>
      </c>
      <c r="C4" t="s">
        <v>5</v>
      </c>
      <c r="E4" t="s">
        <v>16</v>
      </c>
      <c r="F4" t="s">
        <v>17</v>
      </c>
      <c r="G4">
        <v>0.05</v>
      </c>
    </row>
    <row r="5" spans="1:23" x14ac:dyDescent="0.25">
      <c r="A5" s="9" t="s">
        <v>40</v>
      </c>
      <c r="B5" s="9"/>
      <c r="C5" s="9" t="s">
        <v>41</v>
      </c>
    </row>
    <row r="7" spans="1:23" x14ac:dyDescent="0.25">
      <c r="A7" t="s">
        <v>6</v>
      </c>
    </row>
    <row r="8" spans="1:23" x14ac:dyDescent="0.25">
      <c r="A8" t="s">
        <v>7</v>
      </c>
      <c r="B8" t="s">
        <v>8</v>
      </c>
      <c r="C8" t="s">
        <v>9</v>
      </c>
      <c r="E8" t="s">
        <v>18</v>
      </c>
      <c r="F8">
        <v>0</v>
      </c>
      <c r="H8" t="s">
        <v>19</v>
      </c>
      <c r="J8">
        <v>0.05</v>
      </c>
    </row>
    <row r="9" spans="1:23" x14ac:dyDescent="0.25">
      <c r="A9">
        <v>2.5</v>
      </c>
      <c r="B9">
        <v>10</v>
      </c>
      <c r="C9">
        <f>B9*$K$2</f>
        <v>435600</v>
      </c>
      <c r="E9" t="s">
        <v>15</v>
      </c>
      <c r="F9">
        <v>0.8</v>
      </c>
    </row>
    <row r="10" spans="1:23" x14ac:dyDescent="0.25">
      <c r="A10">
        <v>-7</v>
      </c>
      <c r="B10">
        <v>3</v>
      </c>
      <c r="C10">
        <f>B10*$K$2</f>
        <v>130680</v>
      </c>
      <c r="G10" s="1"/>
      <c r="H10" s="1" t="s">
        <v>27</v>
      </c>
      <c r="I10" s="6" t="s">
        <v>33</v>
      </c>
      <c r="J10" s="2"/>
      <c r="K10" s="1"/>
      <c r="L10" s="1"/>
      <c r="M10" s="1" t="s">
        <v>26</v>
      </c>
      <c r="N10" s="1"/>
      <c r="O10" s="6" t="s">
        <v>33</v>
      </c>
      <c r="P10" s="2"/>
      <c r="Q10" s="7"/>
      <c r="R10" s="1"/>
      <c r="S10" s="1" t="s">
        <v>38</v>
      </c>
      <c r="T10" s="1"/>
      <c r="U10" s="6" t="s">
        <v>33</v>
      </c>
      <c r="V10" s="2"/>
      <c r="W10" s="7" t="s">
        <v>39</v>
      </c>
    </row>
    <row r="11" spans="1:23" x14ac:dyDescent="0.25">
      <c r="A11">
        <v>-15</v>
      </c>
      <c r="B11">
        <v>1</v>
      </c>
      <c r="C11">
        <f>B11*$K$2</f>
        <v>43560</v>
      </c>
      <c r="D11" t="s">
        <v>21</v>
      </c>
      <c r="E11" t="s">
        <v>20</v>
      </c>
      <c r="F11" t="s">
        <v>22</v>
      </c>
      <c r="G11" s="3" t="s">
        <v>28</v>
      </c>
      <c r="H11" s="3" t="s">
        <v>29</v>
      </c>
      <c r="I11" s="5" t="s">
        <v>32</v>
      </c>
      <c r="J11" s="4" t="s">
        <v>27</v>
      </c>
      <c r="K11" t="s">
        <v>24</v>
      </c>
      <c r="L11" t="s">
        <v>25</v>
      </c>
      <c r="M11" t="s">
        <v>30</v>
      </c>
      <c r="N11" t="s">
        <v>31</v>
      </c>
      <c r="O11" s="5" t="s">
        <v>32</v>
      </c>
      <c r="P11" s="4" t="s">
        <v>26</v>
      </c>
      <c r="Q11" s="5" t="s">
        <v>34</v>
      </c>
      <c r="R11" s="5" t="s">
        <v>35</v>
      </c>
      <c r="S11" s="5" t="s">
        <v>36</v>
      </c>
      <c r="T11" s="5" t="s">
        <v>37</v>
      </c>
      <c r="U11" s="5" t="s">
        <v>32</v>
      </c>
      <c r="V11" s="8" t="s">
        <v>38</v>
      </c>
    </row>
    <row r="12" spans="1:23" x14ac:dyDescent="0.25">
      <c r="D12">
        <v>0</v>
      </c>
      <c r="E12">
        <v>0</v>
      </c>
      <c r="F12">
        <f>E2</f>
        <v>0.8</v>
      </c>
      <c r="G12" s="3">
        <f>LinInt(E12,$A$15:$A$415,$B$15:$B$415,TRUE)</f>
        <v>0.79793917876280029</v>
      </c>
      <c r="H12" s="3">
        <f>LinInt(F12,$A$9:$A$11,$C$9:$C$11,TRUE)</f>
        <v>215622</v>
      </c>
      <c r="I12" s="3">
        <f>G12-F12</f>
        <v>-2.0608212371997503E-3</v>
      </c>
      <c r="J12" s="4">
        <f>(($B$2*$B$3*((ABS(I12))^1.5)*IF(I12&lt;=0,-1,1)+$B$4)*$K$3)/H12</f>
        <v>-4.1235744441317198E-3</v>
      </c>
      <c r="K12">
        <f>E12+$J$8/2</f>
        <v>2.5000000000000001E-2</v>
      </c>
      <c r="L12">
        <f>F12+J12*K12</f>
        <v>0.79989691063889679</v>
      </c>
      <c r="M12">
        <f>LinInt(K12,$A$15:$A$415,$B$15:$B$415,TRUE)</f>
        <v>0.92751624717269854</v>
      </c>
      <c r="N12" s="3">
        <f>LinInt(L12,$A$9:$A$11,$C$9:$C$11,TRUE)</f>
        <v>215620.87735685759</v>
      </c>
      <c r="O12" s="3">
        <f>M12-L12</f>
        <v>0.12761933653380175</v>
      </c>
      <c r="P12" s="4">
        <f>(($B$2*$B$3*((ABS(O12))^1.5)*IF(O12&lt;=0,-1,1)+$B$4)*$K$3)/N12</f>
        <v>2.0095107902772709</v>
      </c>
      <c r="Q12">
        <f>E12+$J$8</f>
        <v>0.05</v>
      </c>
      <c r="R12">
        <f>F12-J12*$J$8+2*P12*$J$8</f>
        <v>1.0011572577499337</v>
      </c>
      <c r="S12">
        <f>LinInt(Q12,$A$15:$A$415,$B$15:$B$415,TRUE)</f>
        <v>0.97069400137401829</v>
      </c>
      <c r="T12" s="3">
        <f>LinInt(R12,$A$9:$A$11,$C$9:$C$11,TRUE)</f>
        <v>217812.60253689677</v>
      </c>
      <c r="U12" s="3">
        <f>S12-R12</f>
        <v>-3.0463256375915404E-2</v>
      </c>
      <c r="V12" s="4">
        <f>(($B$2*$B$3*((ABS(U12))^1.5)*IF(U12&lt;=0,-1,1)+$B$4)*$K$3)/T12</f>
        <v>-0.23199996086284527</v>
      </c>
      <c r="W12">
        <f>F12+(1/6)*(J12+4*M12+S12)*$J$8</f>
        <v>0.83897196179683908</v>
      </c>
    </row>
    <row r="13" spans="1:23" x14ac:dyDescent="0.25">
      <c r="A13" t="s">
        <v>12</v>
      </c>
      <c r="D13">
        <v>1</v>
      </c>
      <c r="E13">
        <f>E12+$J$8</f>
        <v>0.05</v>
      </c>
      <c r="F13">
        <f>W12</f>
        <v>0.83897196179683908</v>
      </c>
      <c r="G13" s="3">
        <f t="shared" ref="G13:G52" si="0">LinInt(E13,$A$15:$A$415,$B$15:$B$415,TRUE)</f>
        <v>0.97069400137401829</v>
      </c>
      <c r="H13" s="3">
        <f>LinInt(F13,$A$9:$A$11,$C$9:$C$11,TRUE)</f>
        <v>216046.40466396758</v>
      </c>
      <c r="I13" s="3">
        <f>G13-F13</f>
        <v>0.13172203957717921</v>
      </c>
      <c r="J13" s="4">
        <f>(($B$2*$B$3*((ABS(I13))^1.5)*IF(I13&lt;=0,-1,1)+$B$4)*$K$3)/H13</f>
        <v>2.103037681376279</v>
      </c>
      <c r="K13">
        <f>E13+$J$8/2</f>
        <v>7.5000000000000011E-2</v>
      </c>
      <c r="L13">
        <f>F13+J13*K13</f>
        <v>0.99669978790006009</v>
      </c>
      <c r="M13">
        <f t="shared" ref="M13:M52" si="1">LinInt(K13,$A$15:$A$415,$B$15:$B$415,TRUE)</f>
        <v>0.92366036162251242</v>
      </c>
      <c r="N13" s="3">
        <f>LinInt(L13,$A$9:$A$11,$C$9:$C$11,TRUE)</f>
        <v>217764.06069023165</v>
      </c>
      <c r="O13" s="3">
        <f>M13-L13</f>
        <v>-7.303942627754767E-2</v>
      </c>
      <c r="P13" s="4">
        <f>(($B$2*$B$3*((ABS(O13))^1.5)*IF(O13&lt;=0,-1,1)+$B$4)*$K$3)/N13</f>
        <v>-0.8615019227733367</v>
      </c>
      <c r="Q13">
        <f>E13+$J$8</f>
        <v>0.1</v>
      </c>
      <c r="R13">
        <f>F13-J13*$J$8+2*P13*$J$8</f>
        <v>0.64766988545069148</v>
      </c>
      <c r="S13">
        <f t="shared" ref="S13:S52" si="2">LinInt(Q13,$A$15:$A$415,$B$15:$B$415,TRUE)</f>
        <v>0.79099432536394998</v>
      </c>
      <c r="T13" s="3">
        <f>LinInt(R13,$A$9:$A$11,$C$9:$C$11,TRUE)</f>
        <v>213963.12505255803</v>
      </c>
      <c r="U13" s="3">
        <f>S13-R13</f>
        <v>0.14332443991325849</v>
      </c>
      <c r="V13" s="4">
        <f>(($B$2*$B$3*((ABS(U13))^1.5)*IF(U13&lt;=0,-1,1)+$B$4)*$K$3)/T13</f>
        <v>2.4101711034390463</v>
      </c>
      <c r="W13">
        <f>F13+(1/6)*(J13+4*M13+S13)*$J$8</f>
        <v>0.89387757390709144</v>
      </c>
    </row>
    <row r="14" spans="1:23" x14ac:dyDescent="0.25">
      <c r="A14" t="s">
        <v>13</v>
      </c>
      <c r="B14" t="s">
        <v>7</v>
      </c>
      <c r="D14">
        <v>2</v>
      </c>
      <c r="E14">
        <f t="shared" ref="E14:E52" si="3">E13+$J$8</f>
        <v>0.1</v>
      </c>
      <c r="F14">
        <f t="shared" ref="F14:F52" si="4">W13</f>
        <v>0.89387757390709144</v>
      </c>
      <c r="G14" s="3">
        <f t="shared" si="0"/>
        <v>0.79099432536394998</v>
      </c>
      <c r="H14" s="3">
        <f t="shared" ref="H14:H52" si="5">LinInt(F14,$A$9:$A$11,$C$9:$C$11,TRUE)</f>
        <v>216644.32677984823</v>
      </c>
      <c r="I14" s="3">
        <f t="shared" ref="I14:I52" si="6">G14-F14</f>
        <v>-0.10288324854314146</v>
      </c>
      <c r="J14" s="4">
        <f t="shared" ref="J14:J52" si="7">(($B$2*$B$3*((ABS(I14))^1.5)*IF(I14&lt;=0,-1,1)+$B$4)*$K$3)/H14</f>
        <v>-1.4476917847079378</v>
      </c>
      <c r="K14">
        <f t="shared" ref="K14:K52" si="8">E14+$J$8/2</f>
        <v>0.125</v>
      </c>
      <c r="L14">
        <f t="shared" ref="L14:L52" si="9">F14+J14*K14</f>
        <v>0.71291610081859924</v>
      </c>
      <c r="M14">
        <f t="shared" si="1"/>
        <v>0.58522002697754971</v>
      </c>
      <c r="N14" s="3">
        <f t="shared" ref="N14:N52" si="10">LinInt(L14,$A$9:$A$11,$C$9:$C$11,TRUE)</f>
        <v>214673.65633791455</v>
      </c>
      <c r="O14" s="3">
        <f t="shared" ref="O14:O52" si="11">M14-L14</f>
        <v>-0.12769607384104953</v>
      </c>
      <c r="P14" s="4">
        <f t="shared" ref="P14:P52" si="12">(($B$2*$B$3*((ABS(O14))^1.5)*IF(O14&lt;=0,-1,1)+$B$4)*$K$3)/N14</f>
        <v>-2.0201982531637821</v>
      </c>
      <c r="Q14">
        <f t="shared" ref="Q14:Q52" si="13">E14+$J$8</f>
        <v>0.15000000000000002</v>
      </c>
      <c r="R14">
        <f t="shared" ref="R14:R52" si="14">F14-J14*$J$8+2*P14*$J$8</f>
        <v>0.76424233782611017</v>
      </c>
      <c r="S14">
        <f t="shared" si="2"/>
        <v>0.32562303683808375</v>
      </c>
      <c r="T14" s="3">
        <f t="shared" ref="T14:T52" si="15">LinInt(R14,$A$9:$A$11,$C$9:$C$11,TRUE)</f>
        <v>215232.59905892634</v>
      </c>
      <c r="U14" s="3">
        <f t="shared" ref="U14:U52" si="16">S14-R14</f>
        <v>-0.43861930098802643</v>
      </c>
      <c r="V14" s="4">
        <f t="shared" ref="V14:V52" si="17">(($B$2*$B$3*((ABS(U14))^1.5)*IF(U14&lt;=0,-1,1)+$B$4)*$K$3)/T14</f>
        <v>-12.827144442513752</v>
      </c>
      <c r="W14">
        <f t="shared" ref="W14:W52" si="18">F14+(1/6)*(J14+4*M14+S14)*$J$8</f>
        <v>0.90403433524076093</v>
      </c>
    </row>
    <row r="15" spans="1:23" x14ac:dyDescent="0.25">
      <c r="A15">
        <v>0</v>
      </c>
      <c r="B15">
        <v>0.79793917876280029</v>
      </c>
      <c r="D15">
        <v>3</v>
      </c>
      <c r="E15">
        <f t="shared" si="3"/>
        <v>0.15000000000000002</v>
      </c>
      <c r="F15">
        <f t="shared" si="4"/>
        <v>0.90403433524076093</v>
      </c>
      <c r="G15" s="3">
        <f t="shared" si="0"/>
        <v>0.32562303683808375</v>
      </c>
      <c r="H15" s="3">
        <f t="shared" si="5"/>
        <v>216754.93391077188</v>
      </c>
      <c r="I15" s="3">
        <f t="shared" si="6"/>
        <v>-0.57841129840267724</v>
      </c>
      <c r="J15" s="4">
        <f t="shared" si="7"/>
        <v>-19.28823937569997</v>
      </c>
      <c r="K15">
        <f t="shared" si="8"/>
        <v>0.17500000000000002</v>
      </c>
      <c r="L15">
        <f t="shared" si="9"/>
        <v>-2.4714075555067341</v>
      </c>
      <c r="M15">
        <f t="shared" si="1"/>
        <v>3.6440906260621693E-2</v>
      </c>
      <c r="N15" s="3">
        <f t="shared" si="10"/>
        <v>179996.37172053166</v>
      </c>
      <c r="O15" s="3">
        <f t="shared" si="11"/>
        <v>2.507848461767356</v>
      </c>
      <c r="P15" s="4">
        <f t="shared" si="12"/>
        <v>209.69815645554743</v>
      </c>
      <c r="Q15">
        <f t="shared" si="13"/>
        <v>0.2</v>
      </c>
      <c r="R15">
        <f t="shared" si="14"/>
        <v>22.838261949580506</v>
      </c>
      <c r="S15">
        <f t="shared" si="2"/>
        <v>-0.25540208238152112</v>
      </c>
      <c r="T15" s="3">
        <f t="shared" si="15"/>
        <v>455618.67263093172</v>
      </c>
      <c r="U15" s="3">
        <f t="shared" si="16"/>
        <v>-23.093664031962028</v>
      </c>
      <c r="V15" s="4">
        <f t="shared" si="17"/>
        <v>-2314.9636617459123</v>
      </c>
      <c r="W15">
        <f t="shared" si="18"/>
        <v>0.7423853532987692</v>
      </c>
    </row>
    <row r="16" spans="1:23" x14ac:dyDescent="0.25">
      <c r="A16">
        <v>2.5000000000000001E-2</v>
      </c>
      <c r="B16">
        <v>0.92751624717269854</v>
      </c>
      <c r="D16">
        <v>4</v>
      </c>
      <c r="E16">
        <f t="shared" si="3"/>
        <v>0.2</v>
      </c>
      <c r="F16">
        <f t="shared" si="4"/>
        <v>0.7423853532987692</v>
      </c>
      <c r="G16" s="3">
        <f t="shared" si="0"/>
        <v>-0.25540208238152112</v>
      </c>
      <c r="H16" s="3">
        <f t="shared" si="5"/>
        <v>214994.57649742361</v>
      </c>
      <c r="I16" s="3">
        <f t="shared" si="6"/>
        <v>-0.99778743568029027</v>
      </c>
      <c r="J16" s="4">
        <f t="shared" si="7"/>
        <v>-44.059135310151554</v>
      </c>
      <c r="K16">
        <f t="shared" si="8"/>
        <v>0.22500000000000001</v>
      </c>
      <c r="L16">
        <f t="shared" si="9"/>
        <v>-9.1709200914853319</v>
      </c>
      <c r="M16">
        <f t="shared" si="1"/>
        <v>-0.5228040303329049</v>
      </c>
      <c r="N16" s="3">
        <f t="shared" si="10"/>
        <v>61000.320600451851</v>
      </c>
      <c r="O16" s="3">
        <f t="shared" si="11"/>
        <v>8.648116061152427</v>
      </c>
      <c r="P16" s="4">
        <f t="shared" si="12"/>
        <v>3962.3841173854271</v>
      </c>
      <c r="Q16">
        <f t="shared" si="13"/>
        <v>0.25</v>
      </c>
      <c r="R16">
        <f t="shared" si="14"/>
        <v>399.18375385734907</v>
      </c>
      <c r="S16">
        <f t="shared" si="2"/>
        <v>-0.74100434966299378</v>
      </c>
      <c r="T16" s="3">
        <f t="shared" si="15"/>
        <v>4554021.0795065314</v>
      </c>
      <c r="U16" s="3">
        <f t="shared" si="16"/>
        <v>-399.92475820701208</v>
      </c>
      <c r="V16" s="4">
        <f t="shared" si="17"/>
        <v>-16690.864346438193</v>
      </c>
      <c r="W16">
        <f t="shared" si="18"/>
        <v>0.35162405512255113</v>
      </c>
    </row>
    <row r="17" spans="1:23" x14ac:dyDescent="0.25">
      <c r="A17">
        <v>0.05</v>
      </c>
      <c r="B17">
        <v>0.97069400137401829</v>
      </c>
      <c r="D17">
        <v>5</v>
      </c>
      <c r="E17">
        <f t="shared" si="3"/>
        <v>0.25</v>
      </c>
      <c r="F17">
        <f t="shared" si="4"/>
        <v>0.35162405512255113</v>
      </c>
      <c r="G17" s="3">
        <f t="shared" si="0"/>
        <v>-0.74100434966299378</v>
      </c>
      <c r="H17" s="3">
        <f t="shared" si="5"/>
        <v>210739.18596028458</v>
      </c>
      <c r="I17" s="3">
        <f t="shared" si="6"/>
        <v>-1.092628404785545</v>
      </c>
      <c r="J17" s="4">
        <f t="shared" si="7"/>
        <v>-51.507427434760999</v>
      </c>
      <c r="K17">
        <f t="shared" si="8"/>
        <v>0.27500000000000002</v>
      </c>
      <c r="L17">
        <f t="shared" si="9"/>
        <v>-13.812918489436724</v>
      </c>
      <c r="M17">
        <f t="shared" si="1"/>
        <v>-0.88987818261231855</v>
      </c>
      <c r="N17" s="3">
        <f t="shared" si="10"/>
        <v>-87993.169031478508</v>
      </c>
      <c r="O17" s="3">
        <f t="shared" si="11"/>
        <v>12.923040306824404</v>
      </c>
      <c r="P17" s="4">
        <f t="shared" si="12"/>
        <v>-5017.6979789757415</v>
      </c>
      <c r="Q17">
        <f t="shared" si="13"/>
        <v>0.3</v>
      </c>
      <c r="R17">
        <f t="shared" si="14"/>
        <v>-498.84280247071354</v>
      </c>
      <c r="S17">
        <f t="shared" si="2"/>
        <v>-0.95579354160768759</v>
      </c>
      <c r="T17" s="3">
        <f t="shared" si="15"/>
        <v>-15655920.771512629</v>
      </c>
      <c r="U17" s="3">
        <f t="shared" si="16"/>
        <v>497.88700892910583</v>
      </c>
      <c r="V17" s="4">
        <f t="shared" si="17"/>
        <v>-6744.1000534561072</v>
      </c>
      <c r="W17">
        <f t="shared" si="18"/>
        <v>-0.11523205910093187</v>
      </c>
    </row>
    <row r="18" spans="1:23" x14ac:dyDescent="0.25">
      <c r="A18">
        <v>7.4999999999999997E-2</v>
      </c>
      <c r="B18">
        <v>0.92366036162251253</v>
      </c>
      <c r="D18">
        <v>6</v>
      </c>
      <c r="E18">
        <f t="shared" si="3"/>
        <v>0.3</v>
      </c>
      <c r="F18">
        <f t="shared" si="4"/>
        <v>-0.11523205910093187</v>
      </c>
      <c r="G18" s="3">
        <f t="shared" si="0"/>
        <v>-0.95579354160768759</v>
      </c>
      <c r="H18" s="3">
        <f t="shared" si="5"/>
        <v>205655.12287639084</v>
      </c>
      <c r="I18" s="3">
        <f t="shared" si="6"/>
        <v>-0.84056148250675577</v>
      </c>
      <c r="J18" s="4">
        <f t="shared" si="7"/>
        <v>-35.61403024578042</v>
      </c>
      <c r="K18">
        <f t="shared" si="8"/>
        <v>0.32500000000000001</v>
      </c>
      <c r="L18">
        <f t="shared" si="9"/>
        <v>-11.689791888979569</v>
      </c>
      <c r="M18">
        <f t="shared" si="1"/>
        <v>-0.93285969416904313</v>
      </c>
      <c r="N18" s="3">
        <f t="shared" si="10"/>
        <v>-19847.509767121061</v>
      </c>
      <c r="O18" s="3">
        <f t="shared" si="11"/>
        <v>10.756932194810526</v>
      </c>
      <c r="P18" s="4">
        <f t="shared" si="12"/>
        <v>-16894.021788241895</v>
      </c>
      <c r="Q18">
        <f t="shared" si="13"/>
        <v>0.35</v>
      </c>
      <c r="R18">
        <f t="shared" si="14"/>
        <v>-1687.7367093710016</v>
      </c>
      <c r="S18">
        <f t="shared" si="2"/>
        <v>-0.82345245496730368</v>
      </c>
      <c r="T18" s="3">
        <f t="shared" si="15"/>
        <v>-53815660.78120061</v>
      </c>
      <c r="U18" s="3">
        <f t="shared" si="16"/>
        <v>1686.9132569160342</v>
      </c>
      <c r="V18" s="4">
        <f t="shared" si="17"/>
        <v>-12235.926999916101</v>
      </c>
      <c r="W18">
        <f t="shared" si="18"/>
        <v>-0.44997307141279763</v>
      </c>
    </row>
    <row r="19" spans="1:23" x14ac:dyDescent="0.25">
      <c r="A19">
        <v>0.1</v>
      </c>
      <c r="B19">
        <v>0.79099432536394998</v>
      </c>
      <c r="D19">
        <v>7</v>
      </c>
      <c r="E19">
        <f t="shared" si="3"/>
        <v>0.35</v>
      </c>
      <c r="F19">
        <f t="shared" si="4"/>
        <v>-0.44997307141279763</v>
      </c>
      <c r="G19" s="3">
        <f t="shared" si="0"/>
        <v>-0.82345245496730368</v>
      </c>
      <c r="H19" s="3">
        <f t="shared" si="5"/>
        <v>202009.79325231464</v>
      </c>
      <c r="I19" s="3">
        <f t="shared" si="6"/>
        <v>-0.37347938355450605</v>
      </c>
      <c r="J19" s="4">
        <f t="shared" si="7"/>
        <v>-10.7382609479527</v>
      </c>
      <c r="K19">
        <f t="shared" si="8"/>
        <v>0.375</v>
      </c>
      <c r="L19">
        <f t="shared" si="9"/>
        <v>-4.4768209268950603</v>
      </c>
      <c r="M19">
        <f t="shared" si="1"/>
        <v>-0.63796965868689592</v>
      </c>
      <c r="N19" s="3">
        <f t="shared" si="10"/>
        <v>158157.42010611278</v>
      </c>
      <c r="O19" s="3">
        <f t="shared" si="11"/>
        <v>3.8388512682081641</v>
      </c>
      <c r="P19" s="4">
        <f t="shared" si="12"/>
        <v>451.9795494411124</v>
      </c>
      <c r="Q19">
        <f t="shared" si="13"/>
        <v>0.39999999999999997</v>
      </c>
      <c r="R19">
        <f t="shared" si="14"/>
        <v>45.284894920096086</v>
      </c>
      <c r="S19">
        <f t="shared" si="2"/>
        <v>-0.39384184362035091</v>
      </c>
      <c r="T19" s="3">
        <f t="shared" si="15"/>
        <v>700062.50567984639</v>
      </c>
      <c r="U19" s="3">
        <f t="shared" si="16"/>
        <v>-45.678736763716437</v>
      </c>
      <c r="V19" s="4">
        <f t="shared" si="17"/>
        <v>-4191.2226954925809</v>
      </c>
      <c r="W19">
        <f t="shared" si="18"/>
        <v>-0.56400624996546955</v>
      </c>
    </row>
    <row r="20" spans="1:23" x14ac:dyDescent="0.25">
      <c r="A20">
        <v>0.125</v>
      </c>
      <c r="B20">
        <v>0.58522002697754971</v>
      </c>
      <c r="D20">
        <v>8</v>
      </c>
      <c r="E20">
        <f t="shared" si="3"/>
        <v>0.39999999999999997</v>
      </c>
      <c r="F20">
        <f t="shared" si="4"/>
        <v>-0.56400624996546955</v>
      </c>
      <c r="G20" s="3">
        <f t="shared" si="0"/>
        <v>-0.39384184362035091</v>
      </c>
      <c r="H20" s="3">
        <f t="shared" si="5"/>
        <v>200767.97193787605</v>
      </c>
      <c r="I20" s="3">
        <f t="shared" si="6"/>
        <v>0.17016440634511865</v>
      </c>
      <c r="J20" s="4">
        <f t="shared" si="7"/>
        <v>3.322883231018118</v>
      </c>
      <c r="K20">
        <f t="shared" si="8"/>
        <v>0.42499999999999999</v>
      </c>
      <c r="L20">
        <f t="shared" si="9"/>
        <v>0.84821912321723059</v>
      </c>
      <c r="M20">
        <f t="shared" si="1"/>
        <v>-0.11389238208818794</v>
      </c>
      <c r="N20" s="3">
        <f t="shared" si="10"/>
        <v>216147.10625183565</v>
      </c>
      <c r="O20" s="3">
        <f t="shared" si="11"/>
        <v>-0.96211150530541856</v>
      </c>
      <c r="P20" s="4">
        <f t="shared" si="12"/>
        <v>-41.494937445686276</v>
      </c>
      <c r="Q20">
        <f t="shared" si="13"/>
        <v>0.44999999999999996</v>
      </c>
      <c r="R20">
        <f t="shared" si="14"/>
        <v>-4.8796441560850035</v>
      </c>
      <c r="S20">
        <f t="shared" si="2"/>
        <v>0.17579848638703741</v>
      </c>
      <c r="T20" s="3">
        <f t="shared" si="15"/>
        <v>153770.67514023432</v>
      </c>
      <c r="U20" s="3">
        <f t="shared" si="16"/>
        <v>5.0554426424720411</v>
      </c>
      <c r="V20" s="4">
        <f t="shared" si="17"/>
        <v>702.54102099066859</v>
      </c>
      <c r="W20">
        <f t="shared" si="18"/>
        <v>-0.53864698172336622</v>
      </c>
    </row>
    <row r="21" spans="1:23" x14ac:dyDescent="0.25">
      <c r="A21">
        <v>0.15</v>
      </c>
      <c r="B21">
        <v>0.32562303683808408</v>
      </c>
      <c r="D21">
        <v>9</v>
      </c>
      <c r="E21">
        <f t="shared" si="3"/>
        <v>0.44999999999999996</v>
      </c>
      <c r="F21">
        <f t="shared" si="4"/>
        <v>-0.53864698172336622</v>
      </c>
      <c r="G21" s="3">
        <f t="shared" si="0"/>
        <v>0.17579848638703741</v>
      </c>
      <c r="H21" s="3">
        <f t="shared" si="5"/>
        <v>201044.13436903254</v>
      </c>
      <c r="I21" s="3">
        <f t="shared" si="6"/>
        <v>0.71444546811040366</v>
      </c>
      <c r="J21" s="4">
        <f t="shared" si="7"/>
        <v>28.547537330635766</v>
      </c>
      <c r="K21">
        <f t="shared" si="8"/>
        <v>0.47499999999999998</v>
      </c>
      <c r="L21">
        <f t="shared" si="9"/>
        <v>13.021433250328622</v>
      </c>
      <c r="M21">
        <f t="shared" si="1"/>
        <v>0.44832560806824961</v>
      </c>
      <c r="N21" s="3">
        <f t="shared" si="10"/>
        <v>348713.40809607867</v>
      </c>
      <c r="O21" s="3">
        <f t="shared" si="11"/>
        <v>-12.573107642260371</v>
      </c>
      <c r="P21" s="4">
        <f t="shared" si="12"/>
        <v>-1215.0712128166306</v>
      </c>
      <c r="Q21">
        <f t="shared" si="13"/>
        <v>0.49999999999999994</v>
      </c>
      <c r="R21">
        <f t="shared" si="14"/>
        <v>-123.47314512991821</v>
      </c>
      <c r="S21">
        <f t="shared" si="2"/>
        <v>0.67845985594652325</v>
      </c>
      <c r="T21" s="3">
        <f t="shared" si="15"/>
        <v>-3607740.1487383852</v>
      </c>
      <c r="U21" s="3">
        <f t="shared" si="16"/>
        <v>124.15160498586474</v>
      </c>
      <c r="V21" s="4">
        <f t="shared" si="17"/>
        <v>-3644.1788701049272</v>
      </c>
      <c r="W21">
        <f t="shared" si="18"/>
        <v>-0.2801528182329055</v>
      </c>
    </row>
    <row r="22" spans="1:23" x14ac:dyDescent="0.25">
      <c r="A22">
        <v>0.17499999999999999</v>
      </c>
      <c r="B22">
        <v>3.6440906260622019E-2</v>
      </c>
      <c r="D22">
        <v>10</v>
      </c>
      <c r="E22">
        <f t="shared" si="3"/>
        <v>0.49999999999999994</v>
      </c>
      <c r="F22">
        <f t="shared" si="4"/>
        <v>-0.2801528182329055</v>
      </c>
      <c r="G22" s="3">
        <f t="shared" si="0"/>
        <v>0.67845985594652325</v>
      </c>
      <c r="H22" s="3">
        <f t="shared" si="5"/>
        <v>203859.13580944366</v>
      </c>
      <c r="I22" s="3">
        <f t="shared" si="6"/>
        <v>0.95861267417942875</v>
      </c>
      <c r="J22" s="4">
        <f t="shared" si="7"/>
        <v>43.756341060206658</v>
      </c>
      <c r="K22">
        <f t="shared" si="8"/>
        <v>0.52499999999999991</v>
      </c>
      <c r="L22">
        <f t="shared" si="9"/>
        <v>22.691926238375586</v>
      </c>
      <c r="M22">
        <f t="shared" si="1"/>
        <v>0.84498538253632127</v>
      </c>
      <c r="N22" s="3">
        <f t="shared" si="10"/>
        <v>454025.07673591014</v>
      </c>
      <c r="O22" s="3">
        <f t="shared" si="11"/>
        <v>-21.846940855839264</v>
      </c>
      <c r="P22" s="4">
        <f t="shared" si="12"/>
        <v>-2137.5315644550078</v>
      </c>
      <c r="Q22">
        <f t="shared" si="13"/>
        <v>0.54999999999999993</v>
      </c>
      <c r="R22">
        <f t="shared" si="14"/>
        <v>-216.22112631674403</v>
      </c>
      <c r="S22">
        <f t="shared" si="2"/>
        <v>0.93265649725528288</v>
      </c>
      <c r="T22" s="3">
        <f t="shared" si="15"/>
        <v>-6584657.4564738516</v>
      </c>
      <c r="U22" s="3">
        <f t="shared" si="16"/>
        <v>217.15378281399933</v>
      </c>
      <c r="V22" s="4">
        <f t="shared" si="17"/>
        <v>-4618.7487598901989</v>
      </c>
      <c r="W22">
        <f t="shared" si="18"/>
        <v>0.12042167416382143</v>
      </c>
    </row>
    <row r="23" spans="1:23" x14ac:dyDescent="0.25">
      <c r="A23">
        <v>0.2</v>
      </c>
      <c r="B23">
        <v>-0.25540208238152112</v>
      </c>
      <c r="D23">
        <v>11</v>
      </c>
      <c r="E23">
        <f t="shared" si="3"/>
        <v>0.54999999999999993</v>
      </c>
      <c r="F23">
        <f t="shared" si="4"/>
        <v>0.12042167416382143</v>
      </c>
      <c r="G23" s="3">
        <f t="shared" si="0"/>
        <v>0.93265649725528288</v>
      </c>
      <c r="H23" s="3">
        <f t="shared" si="5"/>
        <v>208221.39203164401</v>
      </c>
      <c r="I23" s="3">
        <f t="shared" si="6"/>
        <v>0.81223482309146144</v>
      </c>
      <c r="J23" s="4">
        <f t="shared" si="7"/>
        <v>33.412078246070521</v>
      </c>
      <c r="K23">
        <f t="shared" si="8"/>
        <v>0.57499999999999996</v>
      </c>
      <c r="L23">
        <f t="shared" si="9"/>
        <v>19.332366665654369</v>
      </c>
      <c r="M23">
        <f t="shared" si="1"/>
        <v>0.93359357470502891</v>
      </c>
      <c r="N23" s="3">
        <f t="shared" si="10"/>
        <v>417439.47298897611</v>
      </c>
      <c r="O23" s="3">
        <f t="shared" si="11"/>
        <v>-18.398773090949341</v>
      </c>
      <c r="P23" s="4">
        <f t="shared" si="12"/>
        <v>-1796.7853966427388</v>
      </c>
      <c r="Q23">
        <f t="shared" si="13"/>
        <v>0.6</v>
      </c>
      <c r="R23">
        <f t="shared" si="14"/>
        <v>-181.22872190241361</v>
      </c>
      <c r="S23">
        <f t="shared" si="2"/>
        <v>0.8479901696493729</v>
      </c>
      <c r="T23" s="3">
        <f t="shared" si="15"/>
        <v>-5461511.7771035749</v>
      </c>
      <c r="U23" s="3">
        <f t="shared" si="16"/>
        <v>182.07671207206297</v>
      </c>
      <c r="V23" s="4">
        <f t="shared" si="17"/>
        <v>-4275.384285586837</v>
      </c>
      <c r="W23">
        <f t="shared" si="18"/>
        <v>0.43704203011832149</v>
      </c>
    </row>
    <row r="24" spans="1:23" x14ac:dyDescent="0.25">
      <c r="A24">
        <v>0.22500000000000001</v>
      </c>
      <c r="B24">
        <v>-0.5228040303329049</v>
      </c>
      <c r="D24">
        <v>12</v>
      </c>
      <c r="E24">
        <f t="shared" si="3"/>
        <v>0.6</v>
      </c>
      <c r="F24">
        <f t="shared" si="4"/>
        <v>0.43704203011832149</v>
      </c>
      <c r="G24" s="3">
        <f t="shared" si="0"/>
        <v>0.8479901696493729</v>
      </c>
      <c r="H24" s="3">
        <f t="shared" si="5"/>
        <v>211669.38770798853</v>
      </c>
      <c r="I24" s="3">
        <f t="shared" si="6"/>
        <v>0.41094813953105142</v>
      </c>
      <c r="J24" s="4">
        <f t="shared" si="7"/>
        <v>11.828478969196516</v>
      </c>
      <c r="K24">
        <f t="shared" si="8"/>
        <v>0.625</v>
      </c>
      <c r="L24">
        <f t="shared" si="9"/>
        <v>7.8298413858661435</v>
      </c>
      <c r="M24">
        <f t="shared" si="1"/>
        <v>0.68406799024496134</v>
      </c>
      <c r="N24" s="3">
        <f t="shared" si="10"/>
        <v>292176.97269208229</v>
      </c>
      <c r="O24" s="3">
        <f t="shared" si="11"/>
        <v>-7.1457733956211822</v>
      </c>
      <c r="P24" s="4">
        <f t="shared" si="12"/>
        <v>-621.34713835601178</v>
      </c>
      <c r="Q24">
        <f t="shared" si="13"/>
        <v>0.65</v>
      </c>
      <c r="R24">
        <f t="shared" si="14"/>
        <v>-62.289095753942689</v>
      </c>
      <c r="S24">
        <f t="shared" si="2"/>
        <v>0.45728652129557651</v>
      </c>
      <c r="T24" s="3">
        <f t="shared" si="15"/>
        <v>-1643925.3765570743</v>
      </c>
      <c r="U24" s="3">
        <f t="shared" si="16"/>
        <v>62.746382275238268</v>
      </c>
      <c r="V24" s="4">
        <f t="shared" si="17"/>
        <v>-2873.4746141931478</v>
      </c>
      <c r="W24">
        <f t="shared" si="18"/>
        <v>0.56222567554725433</v>
      </c>
    </row>
    <row r="25" spans="1:23" x14ac:dyDescent="0.25">
      <c r="A25">
        <v>0.25</v>
      </c>
      <c r="B25">
        <v>-0.74100434966299378</v>
      </c>
      <c r="D25">
        <v>13</v>
      </c>
      <c r="E25">
        <f t="shared" si="3"/>
        <v>0.65</v>
      </c>
      <c r="F25">
        <f t="shared" si="4"/>
        <v>0.56222567554725433</v>
      </c>
      <c r="G25" s="3">
        <f t="shared" si="0"/>
        <v>0.45728652129557651</v>
      </c>
      <c r="H25" s="3">
        <f t="shared" si="5"/>
        <v>213032.63760670961</v>
      </c>
      <c r="I25" s="3">
        <f t="shared" si="6"/>
        <v>-0.10493915425167782</v>
      </c>
      <c r="J25" s="4">
        <f t="shared" si="7"/>
        <v>-1.5165845337693957</v>
      </c>
      <c r="K25">
        <f t="shared" si="8"/>
        <v>0.67500000000000004</v>
      </c>
      <c r="L25">
        <f t="shared" si="9"/>
        <v>-0.4614688847470878</v>
      </c>
      <c r="M25">
        <f t="shared" si="1"/>
        <v>0.18888334672672652</v>
      </c>
      <c r="N25" s="3">
        <f t="shared" si="10"/>
        <v>201884.60384510423</v>
      </c>
      <c r="O25" s="3">
        <f t="shared" si="11"/>
        <v>0.65035223147381438</v>
      </c>
      <c r="P25" s="4">
        <f t="shared" si="12"/>
        <v>24.690289362067958</v>
      </c>
      <c r="Q25">
        <f t="shared" si="13"/>
        <v>0.70000000000000007</v>
      </c>
      <c r="R25">
        <f t="shared" si="14"/>
        <v>3.1070838384425201</v>
      </c>
      <c r="S25">
        <f t="shared" si="2"/>
        <v>-9.6116845796940284E-2</v>
      </c>
      <c r="T25" s="3">
        <f t="shared" si="15"/>
        <v>240746.14300063904</v>
      </c>
      <c r="U25" s="3">
        <f t="shared" si="16"/>
        <v>-3.2032006842394605</v>
      </c>
      <c r="V25" s="4">
        <f t="shared" si="17"/>
        <v>-226.32019700031472</v>
      </c>
      <c r="W25">
        <f t="shared" si="18"/>
        <v>0.55508260894175909</v>
      </c>
    </row>
    <row r="26" spans="1:23" x14ac:dyDescent="0.25">
      <c r="A26">
        <v>0.27500000000000002</v>
      </c>
      <c r="B26">
        <v>-0.88987818261231855</v>
      </c>
      <c r="D26">
        <v>14</v>
      </c>
      <c r="E26">
        <f t="shared" si="3"/>
        <v>0.70000000000000007</v>
      </c>
      <c r="F26">
        <f t="shared" si="4"/>
        <v>0.55508260894175909</v>
      </c>
      <c r="G26" s="3">
        <f t="shared" si="0"/>
        <v>-9.6116845796940284E-2</v>
      </c>
      <c r="H26" s="3">
        <f t="shared" si="5"/>
        <v>212954.84961137574</v>
      </c>
      <c r="I26" s="3">
        <f t="shared" si="6"/>
        <v>-0.65119945473869933</v>
      </c>
      <c r="J26" s="4">
        <f t="shared" si="7"/>
        <v>-23.452542697245651</v>
      </c>
      <c r="K26">
        <f t="shared" si="8"/>
        <v>0.72500000000000009</v>
      </c>
      <c r="L26">
        <f t="shared" si="9"/>
        <v>-16.448010846561338</v>
      </c>
      <c r="M26">
        <f t="shared" si="1"/>
        <v>-0.3712377201947325</v>
      </c>
      <c r="N26" s="3">
        <f t="shared" si="10"/>
        <v>-172571.31235089299</v>
      </c>
      <c r="O26" s="3">
        <f t="shared" si="11"/>
        <v>16.076773126366607</v>
      </c>
      <c r="P26" s="4">
        <f t="shared" si="12"/>
        <v>-3550.0637381405832</v>
      </c>
      <c r="Q26">
        <f t="shared" si="13"/>
        <v>0.75000000000000011</v>
      </c>
      <c r="R26">
        <f t="shared" si="14"/>
        <v>-353.27866407025431</v>
      </c>
      <c r="S26">
        <f t="shared" si="2"/>
        <v>-0.61101303076254088</v>
      </c>
      <c r="T26" s="3">
        <f t="shared" si="15"/>
        <v>-10983771.605084416</v>
      </c>
      <c r="U26" s="3">
        <f t="shared" si="16"/>
        <v>352.66765103949177</v>
      </c>
      <c r="V26" s="4">
        <f t="shared" si="17"/>
        <v>-5730.6432317032977</v>
      </c>
      <c r="W26">
        <f t="shared" si="18"/>
        <v>0.34217838720186644</v>
      </c>
    </row>
    <row r="27" spans="1:23" x14ac:dyDescent="0.25">
      <c r="A27">
        <v>0.3</v>
      </c>
      <c r="B27">
        <v>-0.95579354160768759</v>
      </c>
      <c r="D27">
        <v>15</v>
      </c>
      <c r="E27">
        <f t="shared" si="3"/>
        <v>0.75000000000000011</v>
      </c>
      <c r="F27">
        <f t="shared" si="4"/>
        <v>0.34217838720186644</v>
      </c>
      <c r="G27" s="3">
        <f t="shared" si="0"/>
        <v>-0.61101303076254088</v>
      </c>
      <c r="H27" s="3">
        <f t="shared" si="5"/>
        <v>210636.32263662832</v>
      </c>
      <c r="I27" s="3">
        <f t="shared" si="6"/>
        <v>-0.95319141796440732</v>
      </c>
      <c r="J27" s="4">
        <f t="shared" si="7"/>
        <v>-41.98975579235119</v>
      </c>
      <c r="K27">
        <f t="shared" si="8"/>
        <v>0.77500000000000013</v>
      </c>
      <c r="L27">
        <f t="shared" si="9"/>
        <v>-32.199882351870308</v>
      </c>
      <c r="M27">
        <f t="shared" si="1"/>
        <v>-0.79334555216006941</v>
      </c>
      <c r="N27" s="3">
        <f t="shared" si="10"/>
        <v>-678156.64491918881</v>
      </c>
      <c r="O27" s="3">
        <f t="shared" si="11"/>
        <v>31.406536799710238</v>
      </c>
      <c r="P27" s="4">
        <f t="shared" si="12"/>
        <v>-2466.6440338553589</v>
      </c>
      <c r="Q27">
        <f t="shared" si="13"/>
        <v>0.80000000000000016</v>
      </c>
      <c r="R27">
        <f t="shared" si="14"/>
        <v>-244.22273720871647</v>
      </c>
      <c r="S27">
        <f t="shared" si="2"/>
        <v>-0.90154453161394654</v>
      </c>
      <c r="T27" s="3">
        <f t="shared" si="15"/>
        <v>-7483420.739966508</v>
      </c>
      <c r="U27" s="3">
        <f t="shared" si="16"/>
        <v>243.32119267710252</v>
      </c>
      <c r="V27" s="4">
        <f t="shared" si="17"/>
        <v>-4820.3233202133151</v>
      </c>
      <c r="W27">
        <f t="shared" si="18"/>
        <v>-4.1693967236511975E-2</v>
      </c>
    </row>
    <row r="28" spans="1:23" x14ac:dyDescent="0.25">
      <c r="A28">
        <v>0.32500000000000001</v>
      </c>
      <c r="B28">
        <v>-0.93285969416904313</v>
      </c>
      <c r="D28">
        <v>16</v>
      </c>
      <c r="E28">
        <f t="shared" si="3"/>
        <v>0.80000000000000016</v>
      </c>
      <c r="F28">
        <f t="shared" si="4"/>
        <v>-4.1693967236511975E-2</v>
      </c>
      <c r="G28" s="3">
        <f t="shared" si="0"/>
        <v>-0.90154453161394654</v>
      </c>
      <c r="H28" s="3">
        <f t="shared" si="5"/>
        <v>206455.95269679438</v>
      </c>
      <c r="I28" s="3">
        <f t="shared" si="6"/>
        <v>-0.85985056437743457</v>
      </c>
      <c r="J28" s="4">
        <f t="shared" si="7"/>
        <v>-36.704007867923181</v>
      </c>
      <c r="K28">
        <f t="shared" si="8"/>
        <v>0.82500000000000018</v>
      </c>
      <c r="L28">
        <f t="shared" si="9"/>
        <v>-30.322500458273144</v>
      </c>
      <c r="M28">
        <f t="shared" si="1"/>
        <v>-0.92585370357050134</v>
      </c>
      <c r="N28" s="3">
        <f t="shared" si="10"/>
        <v>-617898.61470912071</v>
      </c>
      <c r="O28" s="3">
        <f t="shared" si="11"/>
        <v>29.396646754702644</v>
      </c>
      <c r="P28" s="4">
        <f t="shared" si="12"/>
        <v>-2451.5225739973807</v>
      </c>
      <c r="Q28">
        <f t="shared" si="13"/>
        <v>0.8500000000000002</v>
      </c>
      <c r="R28">
        <f t="shared" si="14"/>
        <v>-243.35875097357845</v>
      </c>
      <c r="S28">
        <f t="shared" si="2"/>
        <v>-0.86432996554102848</v>
      </c>
      <c r="T28" s="3">
        <f t="shared" si="15"/>
        <v>-7455689.5101961624</v>
      </c>
      <c r="U28" s="3">
        <f t="shared" si="16"/>
        <v>242.49442100803742</v>
      </c>
      <c r="V28" s="4">
        <f t="shared" si="17"/>
        <v>-4813.6137721357964</v>
      </c>
      <c r="W28">
        <f t="shared" si="18"/>
        <v>-0.38562523930106379</v>
      </c>
    </row>
    <row r="29" spans="1:23" x14ac:dyDescent="0.25">
      <c r="A29">
        <v>0.35</v>
      </c>
      <c r="B29">
        <v>-0.82345245496730368</v>
      </c>
      <c r="D29">
        <v>17</v>
      </c>
      <c r="E29">
        <f t="shared" si="3"/>
        <v>0.8500000000000002</v>
      </c>
      <c r="F29">
        <f t="shared" si="4"/>
        <v>-0.38562523930106379</v>
      </c>
      <c r="G29" s="3">
        <f t="shared" si="0"/>
        <v>-0.86432996554102848</v>
      </c>
      <c r="H29" s="3">
        <f t="shared" si="5"/>
        <v>202710.54114401143</v>
      </c>
      <c r="I29" s="3">
        <f t="shared" si="6"/>
        <v>-0.47870472623996468</v>
      </c>
      <c r="J29" s="4">
        <f t="shared" si="7"/>
        <v>-15.528577273758032</v>
      </c>
      <c r="K29">
        <f t="shared" si="8"/>
        <v>0.87500000000000022</v>
      </c>
      <c r="L29">
        <f t="shared" si="9"/>
        <v>-13.973130353839345</v>
      </c>
      <c r="M29">
        <f t="shared" si="1"/>
        <v>-0.72299368274412756</v>
      </c>
      <c r="N29" s="3">
        <f t="shared" si="10"/>
        <v>-93135.463946599266</v>
      </c>
      <c r="O29" s="3">
        <f t="shared" si="11"/>
        <v>13.250136671095218</v>
      </c>
      <c r="P29" s="4">
        <f t="shared" si="12"/>
        <v>-4921.7764306347617</v>
      </c>
      <c r="Q29">
        <f t="shared" si="13"/>
        <v>0.90000000000000024</v>
      </c>
      <c r="R29">
        <f t="shared" si="14"/>
        <v>-491.78683943908936</v>
      </c>
      <c r="S29">
        <f t="shared" si="2"/>
        <v>-0.5152395562827855</v>
      </c>
      <c r="T29" s="3">
        <f t="shared" si="15"/>
        <v>-15429446.640186014</v>
      </c>
      <c r="U29" s="3">
        <f t="shared" si="16"/>
        <v>491.27159988280658</v>
      </c>
      <c r="V29" s="4">
        <f t="shared" si="17"/>
        <v>-6707.1584248846548</v>
      </c>
      <c r="W29">
        <f t="shared" si="18"/>
        <v>-0.54342350230954151</v>
      </c>
    </row>
    <row r="30" spans="1:23" x14ac:dyDescent="0.25">
      <c r="A30">
        <v>0.375</v>
      </c>
      <c r="B30">
        <v>-0.63796965868689592</v>
      </c>
      <c r="D30">
        <v>18</v>
      </c>
      <c r="E30">
        <f t="shared" si="3"/>
        <v>0.90000000000000024</v>
      </c>
      <c r="F30">
        <f t="shared" si="4"/>
        <v>-0.54342350230954151</v>
      </c>
      <c r="G30" s="3">
        <f t="shared" si="0"/>
        <v>-0.5152395562827855</v>
      </c>
      <c r="H30" s="3">
        <f t="shared" si="5"/>
        <v>200992.1180598491</v>
      </c>
      <c r="I30" s="3">
        <f t="shared" si="6"/>
        <v>2.8183946026756002E-2</v>
      </c>
      <c r="J30" s="4">
        <f t="shared" si="7"/>
        <v>0.22373302703756826</v>
      </c>
      <c r="K30">
        <f t="shared" si="8"/>
        <v>0.92500000000000027</v>
      </c>
      <c r="L30">
        <f t="shared" si="9"/>
        <v>-0.33647045229979078</v>
      </c>
      <c r="M30">
        <f t="shared" si="1"/>
        <v>-0.26056570641092469</v>
      </c>
      <c r="N30" s="3">
        <f t="shared" si="10"/>
        <v>203245.83677445527</v>
      </c>
      <c r="O30" s="3">
        <f t="shared" si="11"/>
        <v>7.5904745888866088E-2</v>
      </c>
      <c r="P30" s="4">
        <f t="shared" si="12"/>
        <v>0.97788585750686774</v>
      </c>
      <c r="Q30">
        <f t="shared" si="13"/>
        <v>0.95000000000000029</v>
      </c>
      <c r="R30">
        <f t="shared" si="14"/>
        <v>-0.4568215679107332</v>
      </c>
      <c r="S30">
        <f t="shared" si="2"/>
        <v>1.7258302541063312E-2</v>
      </c>
      <c r="T30" s="3">
        <f t="shared" si="15"/>
        <v>201935.21312545211</v>
      </c>
      <c r="U30" s="3">
        <f t="shared" si="16"/>
        <v>0.4740798704517965</v>
      </c>
      <c r="V30" s="4">
        <f t="shared" si="17"/>
        <v>15.362844818652016</v>
      </c>
      <c r="W30">
        <f t="shared" si="18"/>
        <v>-0.55010076477675041</v>
      </c>
    </row>
    <row r="31" spans="1:23" x14ac:dyDescent="0.25">
      <c r="A31">
        <v>0.4</v>
      </c>
      <c r="B31">
        <v>-0.39384184362035035</v>
      </c>
      <c r="D31">
        <v>19</v>
      </c>
      <c r="E31">
        <f t="shared" si="3"/>
        <v>0.95000000000000029</v>
      </c>
      <c r="F31">
        <f t="shared" si="4"/>
        <v>-0.55010076477675041</v>
      </c>
      <c r="G31" s="3">
        <f t="shared" si="0"/>
        <v>1.7258302541063312E-2</v>
      </c>
      <c r="H31" s="3">
        <f t="shared" si="5"/>
        <v>200919.40267158119</v>
      </c>
      <c r="I31" s="3">
        <f t="shared" si="6"/>
        <v>0.56735906731781371</v>
      </c>
      <c r="J31" s="4">
        <f t="shared" si="7"/>
        <v>20.214897765012008</v>
      </c>
      <c r="K31">
        <f t="shared" si="8"/>
        <v>0.97500000000000031</v>
      </c>
      <c r="L31">
        <f t="shared" si="9"/>
        <v>19.159424556109965</v>
      </c>
      <c r="M31">
        <f t="shared" si="1"/>
        <v>0.29241217516823287</v>
      </c>
      <c r="N31" s="3">
        <f t="shared" si="10"/>
        <v>415556.13341603754</v>
      </c>
      <c r="O31" s="3">
        <f t="shared" si="11"/>
        <v>-18.86701238094173</v>
      </c>
      <c r="P31" s="4">
        <f t="shared" si="12"/>
        <v>-1874.2668875399579</v>
      </c>
      <c r="Q31">
        <f t="shared" si="13"/>
        <v>1.0000000000000002</v>
      </c>
      <c r="R31">
        <f t="shared" si="14"/>
        <v>-188.98753440702313</v>
      </c>
      <c r="S31">
        <f t="shared" si="2"/>
        <v>0.5394266490960633</v>
      </c>
      <c r="T31" s="3">
        <f t="shared" si="15"/>
        <v>-5710545.1569883674</v>
      </c>
      <c r="U31" s="3">
        <f t="shared" si="16"/>
        <v>189.52696105611921</v>
      </c>
      <c r="V31" s="4">
        <f t="shared" si="17"/>
        <v>-4342.4552940764834</v>
      </c>
      <c r="W31">
        <f t="shared" si="18"/>
        <v>-0.36740098882024208</v>
      </c>
    </row>
    <row r="32" spans="1:23" x14ac:dyDescent="0.25">
      <c r="A32">
        <v>0.42499999999999999</v>
      </c>
      <c r="B32">
        <v>-0.11389238208818794</v>
      </c>
      <c r="D32">
        <v>20</v>
      </c>
      <c r="E32">
        <f t="shared" si="3"/>
        <v>1.0000000000000002</v>
      </c>
      <c r="F32">
        <f t="shared" si="4"/>
        <v>-0.36740098882024208</v>
      </c>
      <c r="G32" s="3">
        <f t="shared" si="0"/>
        <v>0.5394266490960633</v>
      </c>
      <c r="H32" s="3">
        <f t="shared" si="5"/>
        <v>202909.00323174757</v>
      </c>
      <c r="I32" s="3">
        <f t="shared" si="6"/>
        <v>0.90682763791630538</v>
      </c>
      <c r="J32" s="4">
        <f t="shared" si="7"/>
        <v>40.447551071261735</v>
      </c>
      <c r="K32">
        <f t="shared" si="8"/>
        <v>1.0250000000000001</v>
      </c>
      <c r="L32">
        <f t="shared" si="9"/>
        <v>41.091338859223043</v>
      </c>
      <c r="M32">
        <f t="shared" si="1"/>
        <v>0.73554270074914241</v>
      </c>
      <c r="N32" s="3">
        <f t="shared" si="10"/>
        <v>654394.68017693888</v>
      </c>
      <c r="O32" s="3">
        <f t="shared" si="11"/>
        <v>-40.3557961584739</v>
      </c>
      <c r="P32" s="4">
        <f t="shared" si="12"/>
        <v>-3723.2787103510445</v>
      </c>
      <c r="Q32">
        <f t="shared" si="13"/>
        <v>1.0500000000000003</v>
      </c>
      <c r="R32">
        <f t="shared" si="14"/>
        <v>-374.7176495774878</v>
      </c>
      <c r="S32">
        <f t="shared" si="2"/>
        <v>0.86280949859320022</v>
      </c>
      <c r="T32" s="3">
        <f t="shared" si="15"/>
        <v>-11671895.337807113</v>
      </c>
      <c r="U32" s="3">
        <f t="shared" si="16"/>
        <v>375.58045907608101</v>
      </c>
      <c r="V32" s="4">
        <f t="shared" si="17"/>
        <v>-5926.7898129590458</v>
      </c>
      <c r="W32">
        <f t="shared" si="18"/>
        <v>1.3701059535204951E-3</v>
      </c>
    </row>
    <row r="33" spans="1:23" x14ac:dyDescent="0.25">
      <c r="A33">
        <v>0.45</v>
      </c>
      <c r="B33">
        <v>0.17579848638703804</v>
      </c>
      <c r="D33">
        <v>21</v>
      </c>
      <c r="E33">
        <f t="shared" si="3"/>
        <v>1.0500000000000003</v>
      </c>
      <c r="F33">
        <f t="shared" si="4"/>
        <v>1.3701059535204951E-3</v>
      </c>
      <c r="G33" s="3">
        <f t="shared" si="0"/>
        <v>0.86280949859320022</v>
      </c>
      <c r="H33" s="3">
        <f t="shared" si="5"/>
        <v>206924.92045383385</v>
      </c>
      <c r="I33" s="3">
        <f t="shared" si="6"/>
        <v>0.86143939263967972</v>
      </c>
      <c r="J33" s="4">
        <f t="shared" si="7"/>
        <v>36.722371704299228</v>
      </c>
      <c r="K33">
        <f t="shared" si="8"/>
        <v>1.0750000000000002</v>
      </c>
      <c r="L33">
        <f t="shared" si="9"/>
        <v>39.477919688075197</v>
      </c>
      <c r="M33">
        <f t="shared" si="1"/>
        <v>0.90972761312999795</v>
      </c>
      <c r="N33" s="3">
        <f t="shared" si="10"/>
        <v>636824.54540313885</v>
      </c>
      <c r="O33" s="3">
        <f t="shared" si="11"/>
        <v>-38.568192074945202</v>
      </c>
      <c r="P33" s="4">
        <f t="shared" si="12"/>
        <v>-3574.6255514158593</v>
      </c>
      <c r="Q33">
        <f t="shared" si="13"/>
        <v>1.1000000000000003</v>
      </c>
      <c r="R33">
        <f t="shared" si="14"/>
        <v>-359.2973036208474</v>
      </c>
      <c r="S33">
        <f t="shared" si="2"/>
        <v>0.87228705132655859</v>
      </c>
      <c r="T33" s="3">
        <f t="shared" si="15"/>
        <v>-11176950.928428294</v>
      </c>
      <c r="U33" s="3">
        <f t="shared" si="16"/>
        <v>360.16959067217397</v>
      </c>
      <c r="V33" s="4">
        <f t="shared" si="17"/>
        <v>-5812.2414443866382</v>
      </c>
      <c r="W33">
        <f t="shared" si="18"/>
        <v>0.34498318268806871</v>
      </c>
    </row>
    <row r="34" spans="1:23" x14ac:dyDescent="0.25">
      <c r="A34">
        <v>0.47499999999999998</v>
      </c>
      <c r="B34">
        <v>0.44832560806824961</v>
      </c>
      <c r="D34">
        <v>22</v>
      </c>
      <c r="E34">
        <f t="shared" si="3"/>
        <v>1.1000000000000003</v>
      </c>
      <c r="F34">
        <f t="shared" si="4"/>
        <v>0.34498318268806871</v>
      </c>
      <c r="G34" s="3">
        <f t="shared" si="0"/>
        <v>0.87228705132655859</v>
      </c>
      <c r="H34" s="3">
        <f t="shared" si="5"/>
        <v>210666.86685947306</v>
      </c>
      <c r="I34" s="3">
        <f t="shared" si="6"/>
        <v>0.52730386863848988</v>
      </c>
      <c r="J34" s="4">
        <f t="shared" si="7"/>
        <v>17.274346542632362</v>
      </c>
      <c r="K34">
        <f t="shared" si="8"/>
        <v>1.1250000000000002</v>
      </c>
      <c r="L34">
        <f t="shared" si="9"/>
        <v>19.77862304314948</v>
      </c>
      <c r="M34">
        <f t="shared" si="1"/>
        <v>0.75430651465533805</v>
      </c>
      <c r="N34" s="3">
        <f t="shared" si="10"/>
        <v>422299.20493989781</v>
      </c>
      <c r="O34" s="3">
        <f t="shared" si="11"/>
        <v>-19.024316528494143</v>
      </c>
      <c r="P34" s="4">
        <f t="shared" si="12"/>
        <v>-1867.4533366674921</v>
      </c>
      <c r="Q34">
        <f t="shared" si="13"/>
        <v>1.1500000000000004</v>
      </c>
      <c r="R34">
        <f t="shared" si="14"/>
        <v>-187.26406781119277</v>
      </c>
      <c r="S34">
        <f t="shared" si="2"/>
        <v>0.56704554152206765</v>
      </c>
      <c r="T34" s="3">
        <f t="shared" si="15"/>
        <v>-5655227.3217883054</v>
      </c>
      <c r="U34" s="3">
        <f t="shared" si="16"/>
        <v>187.83111335271485</v>
      </c>
      <c r="V34" s="4">
        <f t="shared" si="17"/>
        <v>-4326.2106283814564</v>
      </c>
      <c r="W34">
        <f t="shared" si="18"/>
        <v>0.51880500054453349</v>
      </c>
    </row>
    <row r="35" spans="1:23" x14ac:dyDescent="0.25">
      <c r="A35">
        <v>0.5</v>
      </c>
      <c r="B35">
        <v>0.6784598559465238</v>
      </c>
      <c r="D35">
        <v>23</v>
      </c>
      <c r="E35">
        <f t="shared" si="3"/>
        <v>1.1500000000000004</v>
      </c>
      <c r="F35">
        <f t="shared" si="4"/>
        <v>0.51880500054453349</v>
      </c>
      <c r="G35" s="3">
        <f t="shared" si="0"/>
        <v>0.56704554152206765</v>
      </c>
      <c r="H35" s="3">
        <f t="shared" si="5"/>
        <v>212559.78645592998</v>
      </c>
      <c r="I35" s="3">
        <f t="shared" si="6"/>
        <v>4.8240540977534163E-2</v>
      </c>
      <c r="J35" s="4">
        <f t="shared" si="7"/>
        <v>0.47374384075379794</v>
      </c>
      <c r="K35">
        <f t="shared" si="8"/>
        <v>1.1750000000000003</v>
      </c>
      <c r="L35">
        <f t="shared" si="9"/>
        <v>1.0754540134302462</v>
      </c>
      <c r="M35">
        <f t="shared" si="1"/>
        <v>0.3281287853130529</v>
      </c>
      <c r="N35" s="3">
        <f t="shared" si="10"/>
        <v>218621.69420625537</v>
      </c>
      <c r="O35" s="3">
        <f t="shared" si="11"/>
        <v>-0.74732522811719326</v>
      </c>
      <c r="P35" s="4">
        <f t="shared" si="12"/>
        <v>-28.085207516438398</v>
      </c>
      <c r="Q35">
        <f t="shared" si="13"/>
        <v>1.2000000000000004</v>
      </c>
      <c r="R35">
        <f t="shared" si="14"/>
        <v>-2.3134029431369965</v>
      </c>
      <c r="S35">
        <f t="shared" si="2"/>
        <v>5.9885310088425167E-2</v>
      </c>
      <c r="T35" s="3">
        <f t="shared" si="15"/>
        <v>181717.0419492381</v>
      </c>
      <c r="U35" s="3">
        <f t="shared" si="16"/>
        <v>2.3732882532254216</v>
      </c>
      <c r="V35" s="4">
        <f t="shared" si="17"/>
        <v>191.22140441616241</v>
      </c>
      <c r="W35">
        <f t="shared" si="18"/>
        <v>0.53418953631198707</v>
      </c>
    </row>
    <row r="36" spans="1:23" x14ac:dyDescent="0.25">
      <c r="A36">
        <v>0.52500000000000002</v>
      </c>
      <c r="B36">
        <v>0.84498538253632205</v>
      </c>
      <c r="D36">
        <v>24</v>
      </c>
      <c r="E36">
        <f t="shared" si="3"/>
        <v>1.2000000000000004</v>
      </c>
      <c r="F36">
        <f t="shared" si="4"/>
        <v>0.53418953631198707</v>
      </c>
      <c r="G36" s="3">
        <f t="shared" si="0"/>
        <v>5.9885310088425167E-2</v>
      </c>
      <c r="H36" s="3">
        <f t="shared" si="5"/>
        <v>212727.32405043754</v>
      </c>
      <c r="I36" s="3">
        <f t="shared" si="6"/>
        <v>-0.47430422622356189</v>
      </c>
      <c r="J36" s="4">
        <f t="shared" si="7"/>
        <v>-14.593808468161516</v>
      </c>
      <c r="K36">
        <f t="shared" si="8"/>
        <v>1.2250000000000003</v>
      </c>
      <c r="L36">
        <f t="shared" si="9"/>
        <v>-17.343225837185873</v>
      </c>
      <c r="M36">
        <f t="shared" si="1"/>
        <v>-0.21274043309473287</v>
      </c>
      <c r="N36" s="3">
        <f t="shared" si="10"/>
        <v>-201304.8865552333</v>
      </c>
      <c r="O36" s="3">
        <f t="shared" si="11"/>
        <v>17.130485404091139</v>
      </c>
      <c r="P36" s="4">
        <f t="shared" si="12"/>
        <v>-3347.3923104331848</v>
      </c>
      <c r="Q36">
        <f t="shared" si="13"/>
        <v>1.2500000000000004</v>
      </c>
      <c r="R36">
        <f t="shared" si="14"/>
        <v>-333.47535108359847</v>
      </c>
      <c r="S36">
        <f t="shared" si="2"/>
        <v>-0.46451030133261428</v>
      </c>
      <c r="T36" s="3">
        <f t="shared" si="15"/>
        <v>-10348147.794990616</v>
      </c>
      <c r="U36" s="3">
        <f t="shared" si="16"/>
        <v>333.01084078226586</v>
      </c>
      <c r="V36" s="4">
        <f t="shared" si="17"/>
        <v>-5581.2485367801846</v>
      </c>
      <c r="W36">
        <f t="shared" si="18"/>
        <v>0.40161219879637822</v>
      </c>
    </row>
    <row r="37" spans="1:23" x14ac:dyDescent="0.25">
      <c r="A37">
        <v>0.55000000000000004</v>
      </c>
      <c r="B37">
        <v>0.93265649725528332</v>
      </c>
      <c r="D37">
        <v>25</v>
      </c>
      <c r="E37">
        <f t="shared" si="3"/>
        <v>1.2500000000000004</v>
      </c>
      <c r="F37">
        <f t="shared" si="4"/>
        <v>0.40161219879637822</v>
      </c>
      <c r="G37" s="3">
        <f t="shared" si="0"/>
        <v>-0.46451030133261428</v>
      </c>
      <c r="H37" s="3">
        <f t="shared" si="5"/>
        <v>211283.55684489256</v>
      </c>
      <c r="I37" s="3">
        <f t="shared" si="6"/>
        <v>-0.8661225001289925</v>
      </c>
      <c r="J37" s="4">
        <f t="shared" si="7"/>
        <v>-36.258489647258642</v>
      </c>
      <c r="K37">
        <f t="shared" si="8"/>
        <v>1.2750000000000004</v>
      </c>
      <c r="L37">
        <f t="shared" si="9"/>
        <v>-45.827962101458404</v>
      </c>
      <c r="M37">
        <f t="shared" si="1"/>
        <v>-0.6722305368954401</v>
      </c>
      <c r="N37" s="3">
        <f t="shared" si="10"/>
        <v>-1115574.9688396524</v>
      </c>
      <c r="O37" s="3">
        <f t="shared" si="11"/>
        <v>45.155731564562963</v>
      </c>
      <c r="P37" s="4">
        <f t="shared" si="12"/>
        <v>-2585.0978743269179</v>
      </c>
      <c r="Q37">
        <f t="shared" si="13"/>
        <v>1.3000000000000005</v>
      </c>
      <c r="R37">
        <f t="shared" si="14"/>
        <v>-256.29525075153248</v>
      </c>
      <c r="S37">
        <f t="shared" si="2"/>
        <v>-0.81688946350080982</v>
      </c>
      <c r="T37" s="3">
        <f t="shared" si="15"/>
        <v>-7870910.3009639243</v>
      </c>
      <c r="U37" s="3">
        <f t="shared" si="16"/>
        <v>255.47836128803166</v>
      </c>
      <c r="V37" s="4">
        <f t="shared" si="17"/>
        <v>-4930.7461837068877</v>
      </c>
      <c r="W37">
        <f t="shared" si="18"/>
        <v>7.0243021643534742E-2</v>
      </c>
    </row>
    <row r="38" spans="1:23" x14ac:dyDescent="0.25">
      <c r="A38">
        <v>0.57499999999999996</v>
      </c>
      <c r="B38">
        <v>0.93359357470502891</v>
      </c>
      <c r="D38">
        <v>26</v>
      </c>
      <c r="E38">
        <f t="shared" si="3"/>
        <v>1.3000000000000005</v>
      </c>
      <c r="F38">
        <f t="shared" si="4"/>
        <v>7.0243021643534742E-2</v>
      </c>
      <c r="G38" s="3">
        <f t="shared" si="0"/>
        <v>-0.81688946350080982</v>
      </c>
      <c r="H38" s="3">
        <f t="shared" si="5"/>
        <v>207674.94650569808</v>
      </c>
      <c r="I38" s="3">
        <f t="shared" si="6"/>
        <v>-0.88713248514434451</v>
      </c>
      <c r="J38" s="4">
        <f t="shared" si="7"/>
        <v>-38.238869501503082</v>
      </c>
      <c r="K38">
        <f t="shared" si="8"/>
        <v>1.3250000000000004</v>
      </c>
      <c r="L38">
        <f t="shared" si="9"/>
        <v>-50.596259067848067</v>
      </c>
      <c r="M38">
        <f t="shared" si="1"/>
        <v>-0.885397677844592</v>
      </c>
      <c r="N38" s="3">
        <f t="shared" si="10"/>
        <v>-1268622.2436808667</v>
      </c>
      <c r="O38" s="3">
        <f t="shared" si="11"/>
        <v>49.710861390003473</v>
      </c>
      <c r="P38" s="4">
        <f t="shared" si="12"/>
        <v>-2625.7358798212617</v>
      </c>
      <c r="Q38">
        <f t="shared" si="13"/>
        <v>1.3500000000000005</v>
      </c>
      <c r="R38">
        <f t="shared" si="14"/>
        <v>-260.59140148540752</v>
      </c>
      <c r="S38">
        <f t="shared" si="2"/>
        <v>-0.8717714381002698</v>
      </c>
      <c r="T38" s="3">
        <f t="shared" si="15"/>
        <v>-8008803.172729522</v>
      </c>
      <c r="U38" s="3">
        <f t="shared" si="16"/>
        <v>259.71963004730725</v>
      </c>
      <c r="V38" s="4">
        <f t="shared" si="17"/>
        <v>-4967.020707714064</v>
      </c>
      <c r="W38">
        <f t="shared" si="18"/>
        <v>-0.28519224211464628</v>
      </c>
    </row>
    <row r="39" spans="1:23" x14ac:dyDescent="0.25">
      <c r="A39">
        <v>0.6</v>
      </c>
      <c r="B39">
        <v>0.8479901696493729</v>
      </c>
      <c r="D39">
        <v>27</v>
      </c>
      <c r="E39">
        <f t="shared" si="3"/>
        <v>1.3500000000000005</v>
      </c>
      <c r="F39">
        <f t="shared" si="4"/>
        <v>-0.28519224211464628</v>
      </c>
      <c r="G39" s="3">
        <f t="shared" si="0"/>
        <v>-0.8717714381002698</v>
      </c>
      <c r="H39" s="3">
        <f t="shared" si="5"/>
        <v>203804.25648337152</v>
      </c>
      <c r="I39" s="3">
        <f t="shared" si="6"/>
        <v>-0.58657919598562347</v>
      </c>
      <c r="J39" s="4">
        <f t="shared" si="7"/>
        <v>-20.949958232950888</v>
      </c>
      <c r="K39">
        <f t="shared" si="8"/>
        <v>1.3750000000000004</v>
      </c>
      <c r="L39">
        <f t="shared" si="9"/>
        <v>-29.091384812422127</v>
      </c>
      <c r="M39">
        <f t="shared" si="1"/>
        <v>-0.77765236041631469</v>
      </c>
      <c r="N39" s="3">
        <f t="shared" si="10"/>
        <v>-578383.69021092157</v>
      </c>
      <c r="O39" s="3">
        <f t="shared" si="11"/>
        <v>28.313732452005812</v>
      </c>
      <c r="P39" s="4">
        <f t="shared" si="12"/>
        <v>-2475.631931282956</v>
      </c>
      <c r="Q39">
        <f t="shared" si="13"/>
        <v>1.4000000000000006</v>
      </c>
      <c r="R39">
        <f t="shared" si="14"/>
        <v>-246.8008874587627</v>
      </c>
      <c r="S39">
        <f t="shared" si="2"/>
        <v>-0.61211858865608593</v>
      </c>
      <c r="T39" s="3">
        <f t="shared" si="15"/>
        <v>-7566171.2214658866</v>
      </c>
      <c r="U39" s="3">
        <f t="shared" si="16"/>
        <v>246.18876887010663</v>
      </c>
      <c r="V39" s="4">
        <f t="shared" si="17"/>
        <v>-4852.1321140785494</v>
      </c>
      <c r="W39">
        <f t="shared" si="18"/>
        <v>-0.49079796097524819</v>
      </c>
    </row>
    <row r="40" spans="1:23" x14ac:dyDescent="0.25">
      <c r="A40">
        <v>0.625</v>
      </c>
      <c r="B40">
        <v>0.68406799024496134</v>
      </c>
      <c r="D40">
        <v>28</v>
      </c>
      <c r="E40">
        <f t="shared" si="3"/>
        <v>1.4000000000000006</v>
      </c>
      <c r="F40">
        <f t="shared" si="4"/>
        <v>-0.49079796097524819</v>
      </c>
      <c r="G40" s="3">
        <f t="shared" si="0"/>
        <v>-0.61211858865608593</v>
      </c>
      <c r="H40" s="3">
        <f t="shared" si="5"/>
        <v>201565.21020497955</v>
      </c>
      <c r="I40" s="3">
        <f t="shared" si="6"/>
        <v>-0.12132062768083773</v>
      </c>
      <c r="J40" s="4">
        <f t="shared" si="7"/>
        <v>-1.9924747420803968</v>
      </c>
      <c r="K40">
        <f t="shared" si="8"/>
        <v>1.4250000000000005</v>
      </c>
      <c r="L40">
        <f t="shared" si="9"/>
        <v>-3.3300744684398147</v>
      </c>
      <c r="M40">
        <f t="shared" si="1"/>
        <v>-0.39080849370231741</v>
      </c>
      <c r="N40" s="3">
        <f t="shared" si="10"/>
        <v>170645.48903869043</v>
      </c>
      <c r="O40" s="3">
        <f t="shared" si="11"/>
        <v>2.9392659747374972</v>
      </c>
      <c r="P40" s="4">
        <f t="shared" si="12"/>
        <v>280.65316625184579</v>
      </c>
      <c r="Q40">
        <f t="shared" si="13"/>
        <v>1.4500000000000006</v>
      </c>
      <c r="R40">
        <f t="shared" si="14"/>
        <v>27.67414240131335</v>
      </c>
      <c r="S40">
        <f t="shared" si="2"/>
        <v>-0.13444155342880965</v>
      </c>
      <c r="T40" s="3">
        <f t="shared" si="15"/>
        <v>508281.41075030237</v>
      </c>
      <c r="U40" s="3">
        <f t="shared" si="16"/>
        <v>-27.808583954742161</v>
      </c>
      <c r="V40" s="4">
        <f t="shared" si="17"/>
        <v>-2742.019335798263</v>
      </c>
      <c r="W40">
        <f t="shared" si="18"/>
        <v>-0.52154921322790215</v>
      </c>
    </row>
    <row r="41" spans="1:23" x14ac:dyDescent="0.25">
      <c r="A41">
        <v>0.65</v>
      </c>
      <c r="B41">
        <v>0.45728652129557651</v>
      </c>
      <c r="D41">
        <v>29</v>
      </c>
      <c r="E41">
        <f t="shared" si="3"/>
        <v>1.4500000000000006</v>
      </c>
      <c r="F41">
        <f t="shared" si="4"/>
        <v>-0.52154921322790215</v>
      </c>
      <c r="G41" s="3">
        <f t="shared" si="0"/>
        <v>-0.13444155342880965</v>
      </c>
      <c r="H41" s="3">
        <f t="shared" si="5"/>
        <v>201230.32906794816</v>
      </c>
      <c r="I41" s="3">
        <f t="shared" si="6"/>
        <v>0.38710765979909251</v>
      </c>
      <c r="J41" s="4">
        <f t="shared" si="7"/>
        <v>11.375241813325747</v>
      </c>
      <c r="K41">
        <f t="shared" si="8"/>
        <v>1.4750000000000005</v>
      </c>
      <c r="L41">
        <f t="shared" si="9"/>
        <v>16.256932461427581</v>
      </c>
      <c r="M41">
        <f t="shared" si="1"/>
        <v>0.1331235239589775</v>
      </c>
      <c r="N41" s="3">
        <f t="shared" si="10"/>
        <v>383947.99450494634</v>
      </c>
      <c r="O41" s="3">
        <f t="shared" si="11"/>
        <v>-16.123808937468603</v>
      </c>
      <c r="P41" s="4">
        <f t="shared" si="12"/>
        <v>-1602.6381955977038</v>
      </c>
      <c r="Q41">
        <f t="shared" si="13"/>
        <v>1.5000000000000007</v>
      </c>
      <c r="R41">
        <f t="shared" si="14"/>
        <v>-161.35413086366458</v>
      </c>
      <c r="S41">
        <f t="shared" si="2"/>
        <v>0.38711123737442421</v>
      </c>
      <c r="T41" s="3">
        <f t="shared" si="15"/>
        <v>-4823600.1666261684</v>
      </c>
      <c r="U41" s="3">
        <f t="shared" si="16"/>
        <v>161.74124210103901</v>
      </c>
      <c r="V41" s="4">
        <f t="shared" si="17"/>
        <v>-4052.903722458972</v>
      </c>
      <c r="W41">
        <f t="shared" si="18"/>
        <v>-0.41909215367343483</v>
      </c>
    </row>
    <row r="42" spans="1:23" x14ac:dyDescent="0.25">
      <c r="A42">
        <v>0.67500000000000004</v>
      </c>
      <c r="B42">
        <v>0.18888334672672652</v>
      </c>
      <c r="D42">
        <v>30</v>
      </c>
      <c r="E42">
        <f t="shared" si="3"/>
        <v>1.5000000000000007</v>
      </c>
      <c r="F42">
        <f t="shared" si="4"/>
        <v>-0.41909215367343483</v>
      </c>
      <c r="G42" s="3">
        <f t="shared" si="0"/>
        <v>0.38711123737442421</v>
      </c>
      <c r="H42" s="3">
        <f t="shared" si="5"/>
        <v>202346.08644649631</v>
      </c>
      <c r="I42" s="3">
        <f t="shared" si="6"/>
        <v>0.80620339104785899</v>
      </c>
      <c r="J42" s="4">
        <f t="shared" si="7"/>
        <v>33.999971209611829</v>
      </c>
      <c r="K42">
        <f t="shared" si="8"/>
        <v>1.5250000000000006</v>
      </c>
      <c r="L42">
        <f t="shared" si="9"/>
        <v>51.430863940984629</v>
      </c>
      <c r="M42">
        <f t="shared" si="1"/>
        <v>0.60412507554411565</v>
      </c>
      <c r="N42" s="3">
        <f t="shared" si="10"/>
        <v>766992.10831732256</v>
      </c>
      <c r="O42" s="3">
        <f t="shared" si="11"/>
        <v>-50.826738865440511</v>
      </c>
      <c r="P42" s="4">
        <f t="shared" si="12"/>
        <v>-4490.0781543730673</v>
      </c>
      <c r="Q42">
        <f t="shared" si="13"/>
        <v>1.5500000000000007</v>
      </c>
      <c r="R42">
        <f t="shared" si="14"/>
        <v>-451.12690615146079</v>
      </c>
      <c r="S42">
        <f t="shared" si="2"/>
        <v>0.76430374883986019</v>
      </c>
      <c r="T42" s="3">
        <f t="shared" si="15"/>
        <v>-14124391.181442466</v>
      </c>
      <c r="U42" s="3">
        <f t="shared" si="16"/>
        <v>451.89120990030062</v>
      </c>
      <c r="V42" s="4">
        <f t="shared" si="17"/>
        <v>-6463.7943557437111</v>
      </c>
      <c r="W42">
        <f t="shared" si="18"/>
        <v>-0.10925235983486692</v>
      </c>
    </row>
    <row r="43" spans="1:23" x14ac:dyDescent="0.25">
      <c r="A43">
        <v>0.7</v>
      </c>
      <c r="B43">
        <v>-9.6116845796939063E-2</v>
      </c>
      <c r="D43">
        <v>31</v>
      </c>
      <c r="E43">
        <f t="shared" si="3"/>
        <v>1.5500000000000007</v>
      </c>
      <c r="F43">
        <f t="shared" si="4"/>
        <v>-0.10925235983486692</v>
      </c>
      <c r="G43" s="3">
        <f t="shared" si="0"/>
        <v>0.76430374883986019</v>
      </c>
      <c r="H43" s="3">
        <f t="shared" si="5"/>
        <v>205720.24180139831</v>
      </c>
      <c r="I43" s="3">
        <f t="shared" si="6"/>
        <v>0.87355610867472711</v>
      </c>
      <c r="J43" s="4">
        <f t="shared" si="7"/>
        <v>37.719472369064519</v>
      </c>
      <c r="K43">
        <f t="shared" si="8"/>
        <v>1.5750000000000006</v>
      </c>
      <c r="L43">
        <f t="shared" si="9"/>
        <v>59.298916621441769</v>
      </c>
      <c r="M43">
        <f t="shared" si="1"/>
        <v>0.85313905174817861</v>
      </c>
      <c r="N43" s="3">
        <f t="shared" si="10"/>
        <v>852675.20200750092</v>
      </c>
      <c r="O43" s="3">
        <f t="shared" si="11"/>
        <v>-58.44577756969359</v>
      </c>
      <c r="P43" s="4">
        <f t="shared" si="12"/>
        <v>-4980.265619835267</v>
      </c>
      <c r="Q43">
        <f t="shared" si="13"/>
        <v>1.6000000000000008</v>
      </c>
      <c r="R43">
        <f t="shared" si="14"/>
        <v>-500.02178796181482</v>
      </c>
      <c r="S43">
        <f t="shared" si="2"/>
        <v>0.86278895707615622</v>
      </c>
      <c r="T43" s="3">
        <f t="shared" si="15"/>
        <v>-15693762.482664904</v>
      </c>
      <c r="U43" s="3">
        <f t="shared" si="16"/>
        <v>500.88457691889096</v>
      </c>
      <c r="V43" s="4">
        <f t="shared" si="17"/>
        <v>-6788.6878674917189</v>
      </c>
      <c r="W43">
        <f t="shared" si="18"/>
        <v>0.24070445294124465</v>
      </c>
    </row>
    <row r="44" spans="1:23" x14ac:dyDescent="0.25">
      <c r="A44">
        <v>0.72499999999999998</v>
      </c>
      <c r="B44">
        <v>-0.37123772019473145</v>
      </c>
      <c r="D44">
        <v>32</v>
      </c>
      <c r="E44">
        <f t="shared" si="3"/>
        <v>1.6000000000000008</v>
      </c>
      <c r="F44">
        <f t="shared" si="4"/>
        <v>0.24070445294124465</v>
      </c>
      <c r="G44" s="3">
        <f t="shared" si="0"/>
        <v>0.86278895707615622</v>
      </c>
      <c r="H44" s="3">
        <f t="shared" si="5"/>
        <v>209531.27149253016</v>
      </c>
      <c r="I44" s="3">
        <f t="shared" si="6"/>
        <v>0.62208450413491156</v>
      </c>
      <c r="J44" s="4">
        <f t="shared" si="7"/>
        <v>22.255207830279126</v>
      </c>
      <c r="K44">
        <f t="shared" si="8"/>
        <v>1.6250000000000007</v>
      </c>
      <c r="L44">
        <f t="shared" si="9"/>
        <v>36.405417177144841</v>
      </c>
      <c r="M44">
        <f t="shared" si="1"/>
        <v>0.79276719533646522</v>
      </c>
      <c r="N44" s="3">
        <f t="shared" si="10"/>
        <v>603364.99305910734</v>
      </c>
      <c r="O44" s="3">
        <f t="shared" si="11"/>
        <v>-35.612649981808374</v>
      </c>
      <c r="P44" s="4">
        <f t="shared" si="12"/>
        <v>-3347.5938052984243</v>
      </c>
      <c r="Q44">
        <f t="shared" si="13"/>
        <v>1.6500000000000008</v>
      </c>
      <c r="R44">
        <f t="shared" si="14"/>
        <v>-335.63143646841519</v>
      </c>
      <c r="S44">
        <f t="shared" si="2"/>
        <v>0.64994895400515529</v>
      </c>
      <c r="T44" s="3">
        <f t="shared" si="15"/>
        <v>-10417351.327152543</v>
      </c>
      <c r="U44" s="3">
        <f t="shared" si="16"/>
        <v>336.28138542242033</v>
      </c>
      <c r="V44" s="4">
        <f t="shared" si="17"/>
        <v>-5626.0470333828562</v>
      </c>
      <c r="W44">
        <f t="shared" si="18"/>
        <v>0.45800633265482915</v>
      </c>
    </row>
    <row r="45" spans="1:23" x14ac:dyDescent="0.25">
      <c r="A45">
        <v>0.75</v>
      </c>
      <c r="B45">
        <v>-0.6110130307625401</v>
      </c>
      <c r="D45">
        <v>33</v>
      </c>
      <c r="E45">
        <f t="shared" si="3"/>
        <v>1.6500000000000008</v>
      </c>
      <c r="F45">
        <f t="shared" si="4"/>
        <v>0.45800633265482915</v>
      </c>
      <c r="G45" s="3">
        <f t="shared" si="0"/>
        <v>0.64994895400515529</v>
      </c>
      <c r="H45" s="3">
        <f t="shared" si="5"/>
        <v>211897.68896261108</v>
      </c>
      <c r="I45" s="3">
        <f t="shared" si="6"/>
        <v>0.19194262135032614</v>
      </c>
      <c r="J45" s="4">
        <f t="shared" si="7"/>
        <v>3.7717017211024308</v>
      </c>
      <c r="K45">
        <f t="shared" si="8"/>
        <v>1.6750000000000007</v>
      </c>
      <c r="L45">
        <f t="shared" si="9"/>
        <v>6.7756067155014037</v>
      </c>
      <c r="M45">
        <f t="shared" si="1"/>
        <v>0.44789596924906883</v>
      </c>
      <c r="N45" s="3">
        <f t="shared" si="10"/>
        <v>280696.35713181028</v>
      </c>
      <c r="O45" s="3">
        <f t="shared" si="11"/>
        <v>-6.3277107462523352</v>
      </c>
      <c r="P45" s="4">
        <f t="shared" si="12"/>
        <v>-538.93895854499021</v>
      </c>
      <c r="Q45">
        <f t="shared" si="13"/>
        <v>1.7000000000000008</v>
      </c>
      <c r="R45">
        <f t="shared" si="14"/>
        <v>-53.624474607899316</v>
      </c>
      <c r="S45">
        <f t="shared" si="2"/>
        <v>0.20556725009936486</v>
      </c>
      <c r="T45" s="3">
        <f t="shared" si="15"/>
        <v>-1365818.3997305958</v>
      </c>
      <c r="U45" s="3">
        <f t="shared" si="16"/>
        <v>53.83004185799868</v>
      </c>
      <c r="V45" s="4">
        <f t="shared" si="17"/>
        <v>-2748.2139822201907</v>
      </c>
      <c r="W45">
        <f t="shared" si="18"/>
        <v>0.50608010638981304</v>
      </c>
    </row>
    <row r="46" spans="1:23" x14ac:dyDescent="0.25">
      <c r="A46">
        <v>0.77500000000000002</v>
      </c>
      <c r="B46">
        <v>-0.79334555216006897</v>
      </c>
      <c r="D46">
        <v>34</v>
      </c>
      <c r="E46">
        <f t="shared" si="3"/>
        <v>1.7000000000000008</v>
      </c>
      <c r="F46">
        <f t="shared" si="4"/>
        <v>0.50608010638981304</v>
      </c>
      <c r="G46" s="3">
        <f t="shared" si="0"/>
        <v>0.20556725009936486</v>
      </c>
      <c r="H46" s="3">
        <f t="shared" si="5"/>
        <v>212421.21235858506</v>
      </c>
      <c r="I46" s="3">
        <f t="shared" si="6"/>
        <v>-0.30051285629044822</v>
      </c>
      <c r="J46" s="4">
        <f t="shared" si="7"/>
        <v>-7.3706048569156302</v>
      </c>
      <c r="K46">
        <f t="shared" si="8"/>
        <v>1.7250000000000008</v>
      </c>
      <c r="L46">
        <f t="shared" si="9"/>
        <v>-12.208213271789655</v>
      </c>
      <c r="M46">
        <f t="shared" si="1"/>
        <v>-5.446185762469459E-2</v>
      </c>
      <c r="N46" s="3">
        <f t="shared" si="10"/>
        <v>-36487.199035168574</v>
      </c>
      <c r="O46" s="3">
        <f t="shared" si="11"/>
        <v>12.15375141416496</v>
      </c>
      <c r="P46" s="4">
        <f t="shared" si="12"/>
        <v>-11036.501479537337</v>
      </c>
      <c r="Q46">
        <f t="shared" si="13"/>
        <v>1.7500000000000009</v>
      </c>
      <c r="R46">
        <f t="shared" si="14"/>
        <v>-1102.7755376044981</v>
      </c>
      <c r="S46">
        <f t="shared" si="2"/>
        <v>-0.30810478485463283</v>
      </c>
      <c r="T46" s="3">
        <f t="shared" si="15"/>
        <v>-35040254.413301431</v>
      </c>
      <c r="U46" s="3">
        <f t="shared" si="16"/>
        <v>1102.4674328196436</v>
      </c>
      <c r="V46" s="4">
        <f t="shared" si="17"/>
        <v>-9928.5957999225229</v>
      </c>
      <c r="W46">
        <f t="shared" si="18"/>
        <v>0.44027546412090435</v>
      </c>
    </row>
    <row r="47" spans="1:23" x14ac:dyDescent="0.25">
      <c r="A47">
        <v>0.8</v>
      </c>
      <c r="B47">
        <v>-0.90154453161394643</v>
      </c>
      <c r="D47">
        <v>35</v>
      </c>
      <c r="E47">
        <f t="shared" si="3"/>
        <v>1.7500000000000009</v>
      </c>
      <c r="F47">
        <f t="shared" si="4"/>
        <v>0.44027546412090435</v>
      </c>
      <c r="G47" s="3">
        <f t="shared" si="0"/>
        <v>-0.30810478485463283</v>
      </c>
      <c r="H47" s="3">
        <f t="shared" si="5"/>
        <v>211704.59980427666</v>
      </c>
      <c r="I47" s="3">
        <f t="shared" si="6"/>
        <v>-0.74838024897553712</v>
      </c>
      <c r="J47" s="4">
        <f t="shared" si="7"/>
        <v>-29.064282705330175</v>
      </c>
      <c r="K47">
        <f t="shared" si="8"/>
        <v>1.7750000000000008</v>
      </c>
      <c r="L47">
        <f t="shared" si="9"/>
        <v>-51.148826337840184</v>
      </c>
      <c r="M47">
        <f t="shared" si="1"/>
        <v>-0.53199654038057131</v>
      </c>
      <c r="N47" s="3">
        <f t="shared" si="10"/>
        <v>-1286357.9080983398</v>
      </c>
      <c r="O47" s="3">
        <f t="shared" si="11"/>
        <v>50.616829797459616</v>
      </c>
      <c r="P47" s="4">
        <f t="shared" si="12"/>
        <v>-2660.6455304029523</v>
      </c>
      <c r="Q47">
        <f t="shared" si="13"/>
        <v>1.8000000000000009</v>
      </c>
      <c r="R47">
        <f t="shared" si="14"/>
        <v>-264.17106344090786</v>
      </c>
      <c r="S47">
        <f t="shared" si="2"/>
        <v>-0.70564706114551012</v>
      </c>
      <c r="T47" s="3">
        <f t="shared" si="15"/>
        <v>-8123699.0173054338</v>
      </c>
      <c r="U47" s="3">
        <f t="shared" si="16"/>
        <v>263.46541637976236</v>
      </c>
      <c r="V47" s="4">
        <f t="shared" si="17"/>
        <v>-5003.0866778870977</v>
      </c>
      <c r="W47">
        <f t="shared" si="18"/>
        <v>0.17445949805425465</v>
      </c>
    </row>
    <row r="48" spans="1:23" x14ac:dyDescent="0.25">
      <c r="A48">
        <v>0.82499999999999996</v>
      </c>
      <c r="B48">
        <v>-0.9258537035705019</v>
      </c>
      <c r="D48">
        <v>36</v>
      </c>
      <c r="E48">
        <f t="shared" si="3"/>
        <v>1.8000000000000009</v>
      </c>
      <c r="F48">
        <f t="shared" si="4"/>
        <v>0.17445949805425465</v>
      </c>
      <c r="G48" s="3">
        <f t="shared" si="0"/>
        <v>-0.70564706114551012</v>
      </c>
      <c r="H48" s="3">
        <f t="shared" si="5"/>
        <v>208809.86393381082</v>
      </c>
      <c r="I48" s="3">
        <f t="shared" si="6"/>
        <v>-0.88010655919976477</v>
      </c>
      <c r="J48" s="4">
        <f t="shared" si="7"/>
        <v>-37.580132221731027</v>
      </c>
      <c r="K48">
        <f t="shared" si="8"/>
        <v>1.8250000000000008</v>
      </c>
      <c r="L48">
        <f t="shared" si="9"/>
        <v>-68.409281806604895</v>
      </c>
      <c r="M48">
        <f t="shared" si="1"/>
        <v>-0.81331655665364999</v>
      </c>
      <c r="N48" s="3">
        <f t="shared" si="10"/>
        <v>-1840364.0219442069</v>
      </c>
      <c r="O48" s="3">
        <f t="shared" si="11"/>
        <v>67.595965249951249</v>
      </c>
      <c r="P48" s="4">
        <f t="shared" si="12"/>
        <v>-2870.0129357620503</v>
      </c>
      <c r="Q48">
        <f t="shared" si="13"/>
        <v>1.850000000000001</v>
      </c>
      <c r="R48">
        <f t="shared" si="14"/>
        <v>-284.94782746706426</v>
      </c>
      <c r="S48">
        <f t="shared" si="2"/>
        <v>-0.84544119364107528</v>
      </c>
      <c r="T48" s="3">
        <f t="shared" si="15"/>
        <v>-8790567.5317112878</v>
      </c>
      <c r="U48" s="3">
        <f t="shared" si="16"/>
        <v>284.10238627342318</v>
      </c>
      <c r="V48" s="4">
        <f t="shared" si="17"/>
        <v>-5177.2821689617222</v>
      </c>
      <c r="W48">
        <f t="shared" si="18"/>
        <v>-0.17286416562896784</v>
      </c>
    </row>
    <row r="49" spans="1:23" x14ac:dyDescent="0.25">
      <c r="A49">
        <v>0.85</v>
      </c>
      <c r="B49">
        <v>-0.8643299655410297</v>
      </c>
      <c r="D49">
        <v>37</v>
      </c>
      <c r="E49">
        <f t="shared" si="3"/>
        <v>1.850000000000001</v>
      </c>
      <c r="F49">
        <f t="shared" si="4"/>
        <v>-0.17286416562896784</v>
      </c>
      <c r="G49" s="3">
        <f t="shared" si="0"/>
        <v>-0.84544119364107528</v>
      </c>
      <c r="H49" s="3">
        <f t="shared" si="5"/>
        <v>205027.50923630054</v>
      </c>
      <c r="I49" s="3">
        <f t="shared" si="6"/>
        <v>-0.6725770280121075</v>
      </c>
      <c r="J49" s="4">
        <f t="shared" si="7"/>
        <v>-25.568622820565384</v>
      </c>
      <c r="K49">
        <f t="shared" si="8"/>
        <v>1.8750000000000009</v>
      </c>
      <c r="L49">
        <f t="shared" si="9"/>
        <v>-48.11403195418908</v>
      </c>
      <c r="M49">
        <f t="shared" si="1"/>
        <v>-0.79948008152585848</v>
      </c>
      <c r="N49" s="3">
        <f t="shared" si="10"/>
        <v>-1188950.5919443511</v>
      </c>
      <c r="O49" s="3">
        <f t="shared" si="11"/>
        <v>47.314551872663223</v>
      </c>
      <c r="P49" s="4">
        <f t="shared" si="12"/>
        <v>-2601.5652138945675</v>
      </c>
      <c r="Q49">
        <f t="shared" si="13"/>
        <v>1.900000000000001</v>
      </c>
      <c r="R49">
        <f t="shared" si="14"/>
        <v>-259.05095441405746</v>
      </c>
      <c r="S49">
        <f t="shared" si="2"/>
        <v>-0.68010880340089741</v>
      </c>
      <c r="T49" s="3">
        <f t="shared" si="15"/>
        <v>-7959359.6863088841</v>
      </c>
      <c r="U49" s="3">
        <f t="shared" si="16"/>
        <v>258.37084561065654</v>
      </c>
      <c r="V49" s="4">
        <f t="shared" si="17"/>
        <v>-4958.9936989363623</v>
      </c>
      <c r="W49">
        <f t="shared" si="18"/>
        <v>-0.41825293187954876</v>
      </c>
    </row>
    <row r="50" spans="1:23" x14ac:dyDescent="0.25">
      <c r="A50">
        <v>0.875</v>
      </c>
      <c r="B50">
        <v>-0.72299368274412945</v>
      </c>
      <c r="D50">
        <v>38</v>
      </c>
      <c r="E50">
        <f t="shared" si="3"/>
        <v>1.900000000000001</v>
      </c>
      <c r="F50">
        <f t="shared" si="4"/>
        <v>-0.41825293187954876</v>
      </c>
      <c r="G50" s="3">
        <f t="shared" si="0"/>
        <v>-0.68010880340089741</v>
      </c>
      <c r="H50" s="3">
        <f t="shared" si="5"/>
        <v>202355.22557183172</v>
      </c>
      <c r="I50" s="3">
        <f t="shared" si="6"/>
        <v>-0.26185587152134865</v>
      </c>
      <c r="J50" s="4">
        <f t="shared" si="7"/>
        <v>-6.2934020645696718</v>
      </c>
      <c r="K50">
        <f t="shared" si="8"/>
        <v>1.9250000000000009</v>
      </c>
      <c r="L50">
        <f t="shared" si="9"/>
        <v>-12.533051906176173</v>
      </c>
      <c r="M50">
        <f t="shared" si="1"/>
        <v>-0.49874559374687427</v>
      </c>
      <c r="N50" s="3">
        <f t="shared" si="10"/>
        <v>-46913.493392761957</v>
      </c>
      <c r="O50" s="3">
        <f t="shared" si="11"/>
        <v>12.034306312429299</v>
      </c>
      <c r="P50" s="4">
        <f t="shared" si="12"/>
        <v>-8457.4657206200663</v>
      </c>
      <c r="Q50">
        <f t="shared" si="13"/>
        <v>1.9500000000000011</v>
      </c>
      <c r="R50">
        <f t="shared" si="14"/>
        <v>-845.85015489065768</v>
      </c>
      <c r="S50">
        <f t="shared" si="2"/>
        <v>-0.27245801972986194</v>
      </c>
      <c r="T50" s="3">
        <f t="shared" si="15"/>
        <v>-26793760.971500982</v>
      </c>
      <c r="U50" s="3">
        <f t="shared" si="16"/>
        <v>845.57769687092787</v>
      </c>
      <c r="V50" s="4">
        <f t="shared" si="17"/>
        <v>-8721.7378330473712</v>
      </c>
      <c r="W50">
        <f t="shared" si="18"/>
        <v>-0.48959328570694072</v>
      </c>
    </row>
    <row r="51" spans="1:23" x14ac:dyDescent="0.25">
      <c r="A51">
        <v>0.9</v>
      </c>
      <c r="B51">
        <v>-0.51523955628278773</v>
      </c>
      <c r="D51">
        <v>39</v>
      </c>
      <c r="E51">
        <f t="shared" si="3"/>
        <v>1.9500000000000011</v>
      </c>
      <c r="F51">
        <f t="shared" si="4"/>
        <v>-0.48959328570694072</v>
      </c>
      <c r="G51" s="3">
        <f t="shared" si="0"/>
        <v>-0.27245801972986194</v>
      </c>
      <c r="H51" s="3">
        <f t="shared" si="5"/>
        <v>201578.32911865143</v>
      </c>
      <c r="I51" s="3">
        <f t="shared" si="6"/>
        <v>0.21713526597707877</v>
      </c>
      <c r="J51" s="4">
        <f t="shared" si="7"/>
        <v>4.7704366636276623</v>
      </c>
      <c r="K51">
        <f t="shared" si="8"/>
        <v>1.975000000000001</v>
      </c>
      <c r="L51">
        <f t="shared" si="9"/>
        <v>8.9320191249576979</v>
      </c>
      <c r="M51">
        <f t="shared" si="1"/>
        <v>-2.2354959152036336E-2</v>
      </c>
      <c r="N51" s="3">
        <f t="shared" si="10"/>
        <v>304179.68827078934</v>
      </c>
      <c r="O51" s="3">
        <f t="shared" si="11"/>
        <v>-8.9543740841097339</v>
      </c>
      <c r="P51" s="4">
        <f t="shared" si="12"/>
        <v>-837.199707379561</v>
      </c>
      <c r="Q51">
        <f t="shared" si="13"/>
        <v>2.0000000000000009</v>
      </c>
      <c r="R51">
        <f t="shared" si="14"/>
        <v>-84.448085856844429</v>
      </c>
      <c r="S51">
        <f t="shared" si="2"/>
        <v>0.22838444981259137</v>
      </c>
      <c r="T51" s="3">
        <f t="shared" si="15"/>
        <v>-2355158.9831020003</v>
      </c>
      <c r="U51" s="3">
        <f t="shared" si="16"/>
        <v>84.676470306657023</v>
      </c>
      <c r="V51" s="4">
        <f t="shared" si="17"/>
        <v>-3144.3459192022747</v>
      </c>
      <c r="W51">
        <f t="shared" si="18"/>
        <v>-0.44868160840000648</v>
      </c>
    </row>
    <row r="52" spans="1:23" x14ac:dyDescent="0.25">
      <c r="A52">
        <v>0.92500000000000004</v>
      </c>
      <c r="B52">
        <v>-0.26056570641092713</v>
      </c>
      <c r="D52">
        <v>40</v>
      </c>
      <c r="E52">
        <f t="shared" si="3"/>
        <v>2.0000000000000009</v>
      </c>
      <c r="F52">
        <f t="shared" si="4"/>
        <v>-0.44868160840000648</v>
      </c>
      <c r="G52" s="3">
        <f t="shared" si="0"/>
        <v>0.22838444981259137</v>
      </c>
      <c r="H52" s="3">
        <f t="shared" si="5"/>
        <v>202023.85728452393</v>
      </c>
      <c r="I52" s="3">
        <f t="shared" si="6"/>
        <v>0.6770660582125978</v>
      </c>
      <c r="J52" s="4">
        <f t="shared" si="7"/>
        <v>26.208992889291189</v>
      </c>
      <c r="K52">
        <f t="shared" si="8"/>
        <v>2.0250000000000008</v>
      </c>
      <c r="L52">
        <f t="shared" si="9"/>
        <v>52.624528992414668</v>
      </c>
      <c r="M52">
        <f t="shared" si="1"/>
        <v>0.45666065315566079</v>
      </c>
      <c r="N52" s="3">
        <f t="shared" si="10"/>
        <v>779991.12072739576</v>
      </c>
      <c r="O52" s="3">
        <f t="shared" si="11"/>
        <v>-52.167868339259009</v>
      </c>
      <c r="P52" s="4">
        <f t="shared" si="12"/>
        <v>-4591.1491909788811</v>
      </c>
      <c r="Q52">
        <f t="shared" si="13"/>
        <v>2.0500000000000007</v>
      </c>
      <c r="R52">
        <f t="shared" si="14"/>
        <v>-460.87405035075267</v>
      </c>
      <c r="S52">
        <f t="shared" si="2"/>
        <v>0.64158276528267177</v>
      </c>
      <c r="T52" s="3">
        <f t="shared" si="15"/>
        <v>-14437243.729784369</v>
      </c>
      <c r="U52" s="3">
        <f t="shared" si="16"/>
        <v>461.51563311603536</v>
      </c>
      <c r="V52" s="4">
        <f t="shared" si="17"/>
        <v>-6526.8219334270088</v>
      </c>
      <c r="W52">
        <f t="shared" si="18"/>
        <v>-0.20970478950670229</v>
      </c>
    </row>
    <row r="53" spans="1:23" x14ac:dyDescent="0.25">
      <c r="A53">
        <v>0.95</v>
      </c>
      <c r="B53">
        <v>1.7258302541059645E-2</v>
      </c>
    </row>
    <row r="54" spans="1:23" x14ac:dyDescent="0.25">
      <c r="A54">
        <v>0.97499999999999998</v>
      </c>
      <c r="B54">
        <v>0.29241217516822959</v>
      </c>
    </row>
    <row r="55" spans="1:23" x14ac:dyDescent="0.25">
      <c r="A55">
        <v>1</v>
      </c>
      <c r="B55">
        <v>0.53942664909606153</v>
      </c>
    </row>
    <row r="56" spans="1:23" x14ac:dyDescent="0.25">
      <c r="A56">
        <v>1.0249999999999999</v>
      </c>
      <c r="B56">
        <v>0.7355427007491413</v>
      </c>
    </row>
    <row r="57" spans="1:23" x14ac:dyDescent="0.25">
      <c r="A57">
        <v>1.05</v>
      </c>
      <c r="B57">
        <v>0.86280949859319978</v>
      </c>
    </row>
    <row r="58" spans="1:23" x14ac:dyDescent="0.25">
      <c r="A58">
        <v>1.075</v>
      </c>
      <c r="B58">
        <v>0.90972761312999828</v>
      </c>
    </row>
    <row r="59" spans="1:23" x14ac:dyDescent="0.25">
      <c r="A59">
        <v>1.1000000000000001</v>
      </c>
      <c r="B59">
        <v>0.87228705132655959</v>
      </c>
    </row>
    <row r="60" spans="1:23" x14ac:dyDescent="0.25">
      <c r="A60">
        <v>1.125</v>
      </c>
      <c r="B60">
        <v>0.75430651465533971</v>
      </c>
    </row>
    <row r="61" spans="1:23" x14ac:dyDescent="0.25">
      <c r="A61">
        <v>1.1499999999999999</v>
      </c>
      <c r="B61">
        <v>0.56704554152207187</v>
      </c>
    </row>
    <row r="62" spans="1:23" x14ac:dyDescent="0.25">
      <c r="A62">
        <v>1.175</v>
      </c>
      <c r="B62">
        <v>0.32812878531305528</v>
      </c>
    </row>
    <row r="63" spans="1:23" x14ac:dyDescent="0.25">
      <c r="A63">
        <v>1.2</v>
      </c>
      <c r="B63">
        <v>5.988531008843001E-2</v>
      </c>
    </row>
    <row r="64" spans="1:23" x14ac:dyDescent="0.25">
      <c r="A64">
        <v>1.2250000000000001</v>
      </c>
      <c r="B64">
        <v>-0.21274043309473062</v>
      </c>
    </row>
    <row r="65" spans="1:2" x14ac:dyDescent="0.25">
      <c r="A65">
        <v>1.25</v>
      </c>
      <c r="B65">
        <v>-0.46451030133261062</v>
      </c>
    </row>
    <row r="66" spans="1:2" x14ac:dyDescent="0.25">
      <c r="A66">
        <v>1.2749999999999999</v>
      </c>
      <c r="B66">
        <v>-0.67223053689543755</v>
      </c>
    </row>
    <row r="67" spans="1:2" x14ac:dyDescent="0.25">
      <c r="A67">
        <v>1.3</v>
      </c>
      <c r="B67">
        <v>-0.8168894635008086</v>
      </c>
    </row>
    <row r="68" spans="1:2" x14ac:dyDescent="0.25">
      <c r="A68">
        <v>1.325</v>
      </c>
      <c r="B68">
        <v>-0.88539767784459222</v>
      </c>
    </row>
    <row r="69" spans="1:2" x14ac:dyDescent="0.25">
      <c r="A69">
        <v>1.35</v>
      </c>
      <c r="B69">
        <v>-0.87177143810027147</v>
      </c>
    </row>
    <row r="70" spans="1:2" x14ac:dyDescent="0.25">
      <c r="A70">
        <v>1.375</v>
      </c>
      <c r="B70">
        <v>-0.77765236041631758</v>
      </c>
    </row>
    <row r="71" spans="1:2" x14ac:dyDescent="0.25">
      <c r="A71">
        <v>1.4</v>
      </c>
      <c r="B71">
        <v>-0.61211858865609181</v>
      </c>
    </row>
    <row r="72" spans="1:2" x14ac:dyDescent="0.25">
      <c r="A72">
        <v>1.425</v>
      </c>
      <c r="B72">
        <v>-0.39080849370232196</v>
      </c>
    </row>
    <row r="73" spans="1:2" x14ac:dyDescent="0.25">
      <c r="A73">
        <v>1.45</v>
      </c>
      <c r="B73">
        <v>-0.13444155342881678</v>
      </c>
    </row>
    <row r="74" spans="1:2" x14ac:dyDescent="0.25">
      <c r="A74">
        <v>1.4750000000000001</v>
      </c>
      <c r="B74">
        <v>0.13312352395897298</v>
      </c>
    </row>
    <row r="75" spans="1:2" x14ac:dyDescent="0.25">
      <c r="A75">
        <v>1.5</v>
      </c>
      <c r="B75">
        <v>0.38711123737441844</v>
      </c>
    </row>
    <row r="76" spans="1:2" x14ac:dyDescent="0.25">
      <c r="A76">
        <v>1.5249999999999999</v>
      </c>
      <c r="B76">
        <v>0.60412507554411143</v>
      </c>
    </row>
    <row r="77" spans="1:2" x14ac:dyDescent="0.25">
      <c r="A77">
        <v>1.55</v>
      </c>
      <c r="B77">
        <v>0.76430374883985785</v>
      </c>
    </row>
    <row r="78" spans="1:2" x14ac:dyDescent="0.25">
      <c r="A78">
        <v>1.575</v>
      </c>
      <c r="B78">
        <v>0.85313905174817839</v>
      </c>
    </row>
    <row r="79" spans="1:2" x14ac:dyDescent="0.25">
      <c r="A79">
        <v>1.6</v>
      </c>
      <c r="B79">
        <v>0.8627889570761581</v>
      </c>
    </row>
    <row r="80" spans="1:2" x14ac:dyDescent="0.25">
      <c r="A80">
        <v>1.625</v>
      </c>
      <c r="B80">
        <v>0.792767195336469</v>
      </c>
    </row>
    <row r="81" spans="1:2" x14ac:dyDescent="0.25">
      <c r="A81">
        <v>1.65</v>
      </c>
      <c r="B81">
        <v>0.6499489540051625</v>
      </c>
    </row>
    <row r="82" spans="1:2" x14ac:dyDescent="0.25">
      <c r="A82">
        <v>1.675</v>
      </c>
      <c r="B82">
        <v>0.44789596924907527</v>
      </c>
    </row>
    <row r="83" spans="1:2" x14ac:dyDescent="0.25">
      <c r="A83">
        <v>1.7</v>
      </c>
      <c r="B83">
        <v>0.2055672500993741</v>
      </c>
    </row>
    <row r="84" spans="1:2" x14ac:dyDescent="0.25">
      <c r="A84">
        <v>1.7250000000000001</v>
      </c>
      <c r="B84">
        <v>-5.4461857624687832E-2</v>
      </c>
    </row>
    <row r="85" spans="1:2" x14ac:dyDescent="0.25">
      <c r="A85">
        <v>1.75</v>
      </c>
      <c r="B85">
        <v>-0.30810478485462489</v>
      </c>
    </row>
    <row r="86" spans="1:2" x14ac:dyDescent="0.25">
      <c r="A86">
        <v>1.7749999999999999</v>
      </c>
      <c r="B86">
        <v>-0.5319965403805651</v>
      </c>
    </row>
    <row r="87" spans="1:2" x14ac:dyDescent="0.25">
      <c r="A87">
        <v>1.8</v>
      </c>
      <c r="B87">
        <v>-0.70564706114550635</v>
      </c>
    </row>
    <row r="88" spans="1:2" x14ac:dyDescent="0.25">
      <c r="A88">
        <v>1.825</v>
      </c>
      <c r="B88">
        <v>-0.81331655665364888</v>
      </c>
    </row>
    <row r="89" spans="1:2" x14ac:dyDescent="0.25">
      <c r="A89">
        <v>1.85</v>
      </c>
      <c r="B89">
        <v>-0.84544119364107695</v>
      </c>
    </row>
    <row r="90" spans="1:2" x14ac:dyDescent="0.25">
      <c r="A90">
        <v>1.875</v>
      </c>
      <c r="B90">
        <v>-0.7994800815258627</v>
      </c>
    </row>
    <row r="91" spans="1:2" x14ac:dyDescent="0.25">
      <c r="A91">
        <v>1.9</v>
      </c>
      <c r="B91">
        <v>-0.68010880340090551</v>
      </c>
    </row>
    <row r="92" spans="1:2" x14ac:dyDescent="0.25">
      <c r="A92">
        <v>1.925</v>
      </c>
      <c r="B92">
        <v>-0.49874559374688232</v>
      </c>
    </row>
    <row r="93" spans="1:2" x14ac:dyDescent="0.25">
      <c r="A93">
        <v>1.95</v>
      </c>
      <c r="B93">
        <v>-0.27245801972987305</v>
      </c>
    </row>
    <row r="94" spans="1:2" x14ac:dyDescent="0.25">
      <c r="A94">
        <v>1.9750000000000001</v>
      </c>
      <c r="B94">
        <v>-2.2354959152045245E-2</v>
      </c>
    </row>
    <row r="95" spans="1:2" x14ac:dyDescent="0.25">
      <c r="A95">
        <v>2</v>
      </c>
      <c r="B95">
        <v>0.22838444981258327</v>
      </c>
    </row>
    <row r="96" spans="1:2" x14ac:dyDescent="0.25">
      <c r="A96">
        <v>2.0249999999999999</v>
      </c>
      <c r="B96">
        <v>0.45666065315565424</v>
      </c>
    </row>
    <row r="97" spans="1:2" x14ac:dyDescent="0.25">
      <c r="A97">
        <v>2.0499999999999998</v>
      </c>
      <c r="B97">
        <v>0.64158276528266733</v>
      </c>
    </row>
    <row r="98" spans="1:2" x14ac:dyDescent="0.25">
      <c r="A98">
        <v>2.0750000000000002</v>
      </c>
      <c r="B98">
        <v>0.76638055628110668</v>
      </c>
    </row>
    <row r="99" spans="1:2" x14ac:dyDescent="0.25">
      <c r="A99">
        <v>2.1</v>
      </c>
      <c r="B99">
        <v>0.81992433849723234</v>
      </c>
    </row>
    <row r="100" spans="1:2" x14ac:dyDescent="0.25">
      <c r="A100">
        <v>2.125</v>
      </c>
      <c r="B100">
        <v>0.79771510107955912</v>
      </c>
    </row>
    <row r="101" spans="1:2" x14ac:dyDescent="0.25">
      <c r="A101">
        <v>2.15</v>
      </c>
      <c r="B101">
        <v>0.70225705068235933</v>
      </c>
    </row>
    <row r="102" spans="1:2" x14ac:dyDescent="0.25">
      <c r="A102">
        <v>2.1749999999999998</v>
      </c>
      <c r="B102">
        <v>0.54278229458916116</v>
      </c>
    </row>
    <row r="103" spans="1:2" x14ac:dyDescent="0.25">
      <c r="A103">
        <v>2.2000000000000002</v>
      </c>
      <c r="B103">
        <v>0.33435737592286435</v>
      </c>
    </row>
    <row r="104" spans="1:2" x14ac:dyDescent="0.25">
      <c r="A104">
        <v>2.2250000000000001</v>
      </c>
      <c r="B104">
        <v>9.6458183534092745E-2</v>
      </c>
    </row>
    <row r="105" spans="1:2" x14ac:dyDescent="0.25">
      <c r="A105">
        <v>2.25</v>
      </c>
      <c r="B105">
        <v>-0.14885181178449031</v>
      </c>
    </row>
    <row r="106" spans="1:2" x14ac:dyDescent="0.25">
      <c r="A106">
        <v>2.2749999999999999</v>
      </c>
      <c r="B106">
        <v>-0.37896940846056282</v>
      </c>
    </row>
    <row r="107" spans="1:2" x14ac:dyDescent="0.25">
      <c r="A107">
        <v>2.2999999999999998</v>
      </c>
      <c r="B107">
        <v>-0.57283538226747643</v>
      </c>
    </row>
    <row r="108" spans="1:2" x14ac:dyDescent="0.25">
      <c r="A108">
        <v>2.3250000000000002</v>
      </c>
      <c r="B108">
        <v>-0.71286186296876819</v>
      </c>
    </row>
    <row r="109" spans="1:2" x14ac:dyDescent="0.25">
      <c r="A109">
        <v>2.35</v>
      </c>
      <c r="B109">
        <v>-0.78652696888672424</v>
      </c>
    </row>
    <row r="110" spans="1:2" x14ac:dyDescent="0.25">
      <c r="A110">
        <v>2.375</v>
      </c>
      <c r="B110">
        <v>-0.78749221465441732</v>
      </c>
    </row>
    <row r="111" spans="1:2" x14ac:dyDescent="0.25">
      <c r="A111">
        <v>2.4</v>
      </c>
      <c r="B111">
        <v>-0.71614321513464962</v>
      </c>
    </row>
    <row r="112" spans="1:2" x14ac:dyDescent="0.25">
      <c r="A112">
        <v>2.4249999999999998</v>
      </c>
      <c r="B112">
        <v>-0.5795080484259002</v>
      </c>
    </row>
    <row r="113" spans="1:2" x14ac:dyDescent="0.25">
      <c r="A113">
        <v>2.4500000000000002</v>
      </c>
      <c r="B113">
        <v>-0.39056528156965242</v>
      </c>
    </row>
    <row r="114" spans="1:2" x14ac:dyDescent="0.25">
      <c r="A114">
        <v>2.4750000000000001</v>
      </c>
      <c r="B114">
        <v>-0.16700976145866334</v>
      </c>
    </row>
    <row r="115" spans="1:2" x14ac:dyDescent="0.25">
      <c r="A115">
        <v>2.5</v>
      </c>
      <c r="B115">
        <v>7.0406327588584477E-2</v>
      </c>
    </row>
    <row r="116" spans="1:2" x14ac:dyDescent="0.25">
      <c r="A116">
        <v>2.5249999999999999</v>
      </c>
      <c r="B116">
        <v>0.29980143828199501</v>
      </c>
    </row>
    <row r="117" spans="1:2" x14ac:dyDescent="0.25">
      <c r="A117">
        <v>2.5499999999999998</v>
      </c>
      <c r="B117">
        <v>0.5001823954567296</v>
      </c>
    </row>
    <row r="118" spans="1:2" x14ac:dyDescent="0.25">
      <c r="A118">
        <v>2.5750000000000002</v>
      </c>
      <c r="B118">
        <v>0.65336573456795421</v>
      </c>
    </row>
    <row r="119" spans="1:2" x14ac:dyDescent="0.25">
      <c r="A119">
        <v>2.6</v>
      </c>
      <c r="B119">
        <v>0.74562678499091706</v>
      </c>
    </row>
    <row r="120" spans="1:2" x14ac:dyDescent="0.25">
      <c r="A120">
        <v>2.625</v>
      </c>
      <c r="B120">
        <v>0.76892703572843701</v>
      </c>
    </row>
    <row r="121" spans="1:2" x14ac:dyDescent="0.25">
      <c r="A121">
        <v>2.65</v>
      </c>
      <c r="B121">
        <v>0.72161025424534864</v>
      </c>
    </row>
    <row r="122" spans="1:2" x14ac:dyDescent="0.25">
      <c r="A122">
        <v>2.6749999999999998</v>
      </c>
      <c r="B122">
        <v>0.60850751344885667</v>
      </c>
    </row>
    <row r="123" spans="1:2" x14ac:dyDescent="0.25">
      <c r="A123">
        <v>2.7</v>
      </c>
      <c r="B123">
        <v>0.44044606576547629</v>
      </c>
    </row>
    <row r="124" spans="1:2" x14ac:dyDescent="0.25">
      <c r="A124">
        <v>2.7250000000000001</v>
      </c>
      <c r="B124">
        <v>0.23321180542478845</v>
      </c>
    </row>
    <row r="125" spans="1:2" x14ac:dyDescent="0.25">
      <c r="A125">
        <v>2.75</v>
      </c>
      <c r="B125">
        <v>6.0648408832433276E-3</v>
      </c>
    </row>
    <row r="126" spans="1:2" x14ac:dyDescent="0.25">
      <c r="A126">
        <v>2.7749999999999999</v>
      </c>
      <c r="B126">
        <v>-0.22005207530762214</v>
      </c>
    </row>
    <row r="127" spans="1:2" x14ac:dyDescent="0.25">
      <c r="A127">
        <v>2.8</v>
      </c>
      <c r="B127">
        <v>-0.42444545777144693</v>
      </c>
    </row>
    <row r="128" spans="1:2" x14ac:dyDescent="0.25">
      <c r="A128">
        <v>2.8250000000000002</v>
      </c>
      <c r="B128">
        <v>-0.58856502941300792</v>
      </c>
    </row>
    <row r="129" spans="1:2" x14ac:dyDescent="0.25">
      <c r="A129">
        <v>2.85</v>
      </c>
      <c r="B129">
        <v>-0.69768633841358207</v>
      </c>
    </row>
    <row r="130" spans="1:2" x14ac:dyDescent="0.25">
      <c r="A130">
        <v>2.875</v>
      </c>
      <c r="B130">
        <v>-0.74222952309565615</v>
      </c>
    </row>
    <row r="131" spans="1:2" x14ac:dyDescent="0.25">
      <c r="A131">
        <v>2.9</v>
      </c>
      <c r="B131">
        <v>-0.71859633974211734</v>
      </c>
    </row>
    <row r="132" spans="1:2" x14ac:dyDescent="0.25">
      <c r="A132">
        <v>2.9249999999999998</v>
      </c>
      <c r="B132">
        <v>-0.62945272660805507</v>
      </c>
    </row>
    <row r="133" spans="1:2" x14ac:dyDescent="0.25">
      <c r="A133">
        <v>2.95</v>
      </c>
      <c r="B133">
        <v>-0.48343561278934399</v>
      </c>
    </row>
    <row r="134" spans="1:2" x14ac:dyDescent="0.25">
      <c r="A134">
        <v>2.9750000000000001</v>
      </c>
      <c r="B134">
        <v>-0.2943156180259302</v>
      </c>
    </row>
    <row r="135" spans="1:2" x14ac:dyDescent="0.25">
      <c r="A135">
        <v>3</v>
      </c>
      <c r="B135">
        <v>-7.9696859827084521E-2</v>
      </c>
    </row>
    <row r="136" spans="1:2" x14ac:dyDescent="0.25">
      <c r="A136">
        <v>3.0249999999999999</v>
      </c>
      <c r="B136">
        <v>0.140623227358635</v>
      </c>
    </row>
    <row r="137" spans="1:2" x14ac:dyDescent="0.25">
      <c r="A137">
        <v>3.05</v>
      </c>
      <c r="B137">
        <v>0.34648109939449023</v>
      </c>
    </row>
    <row r="138" spans="1:2" x14ac:dyDescent="0.25">
      <c r="A138">
        <v>3.0750000000000002</v>
      </c>
      <c r="B138">
        <v>0.51919259677842244</v>
      </c>
    </row>
    <row r="139" spans="1:2" x14ac:dyDescent="0.25">
      <c r="A139">
        <v>3.1</v>
      </c>
      <c r="B139">
        <v>0.64324780105562407</v>
      </c>
    </row>
    <row r="140" spans="1:2" x14ac:dyDescent="0.25">
      <c r="A140">
        <v>3.125</v>
      </c>
      <c r="B140">
        <v>0.70770160638349178</v>
      </c>
    </row>
    <row r="141" spans="1:2" x14ac:dyDescent="0.25">
      <c r="A141">
        <v>3.15</v>
      </c>
      <c r="B141">
        <v>0.70713555682591223</v>
      </c>
    </row>
    <row r="142" spans="1:2" x14ac:dyDescent="0.25">
      <c r="A142">
        <v>3.1749999999999998</v>
      </c>
      <c r="B142">
        <v>0.64210681263753211</v>
      </c>
    </row>
    <row r="143" spans="1:2" x14ac:dyDescent="0.25">
      <c r="A143">
        <v>3.2</v>
      </c>
      <c r="B143">
        <v>0.51904774184627134</v>
      </c>
    </row>
    <row r="144" spans="1:2" x14ac:dyDescent="0.25">
      <c r="A144">
        <v>3.2250000000000001</v>
      </c>
      <c r="B144">
        <v>0.34963015917807744</v>
      </c>
    </row>
    <row r="145" spans="1:2" x14ac:dyDescent="0.25">
      <c r="A145">
        <v>3.25</v>
      </c>
      <c r="B145">
        <v>0.14965700417406474</v>
      </c>
    </row>
    <row r="146" spans="1:2" x14ac:dyDescent="0.25">
      <c r="A146">
        <v>3.2749999999999999</v>
      </c>
      <c r="B146">
        <v>-6.2413177462278063E-2</v>
      </c>
    </row>
    <row r="147" spans="1:2" x14ac:dyDescent="0.25">
      <c r="A147">
        <v>3.3</v>
      </c>
      <c r="B147">
        <v>-0.26717104103147588</v>
      </c>
    </row>
    <row r="148" spans="1:2" x14ac:dyDescent="0.25">
      <c r="A148">
        <v>3.3250000000000002</v>
      </c>
      <c r="B148">
        <v>-0.44603298888173504</v>
      </c>
    </row>
    <row r="149" spans="1:2" x14ac:dyDescent="0.25">
      <c r="A149">
        <v>3.35</v>
      </c>
      <c r="B149">
        <v>-0.58292683354160346</v>
      </c>
    </row>
    <row r="150" spans="1:2" x14ac:dyDescent="0.25">
      <c r="A150">
        <v>3.375</v>
      </c>
      <c r="B150">
        <v>-0.66573377144626278</v>
      </c>
    </row>
    <row r="151" spans="1:2" x14ac:dyDescent="0.25">
      <c r="A151">
        <v>3.4</v>
      </c>
      <c r="B151">
        <v>-0.68735751869191541</v>
      </c>
    </row>
    <row r="152" spans="1:2" x14ac:dyDescent="0.25">
      <c r="A152">
        <v>3.4249999999999998</v>
      </c>
      <c r="B152">
        <v>-0.64632666294388874</v>
      </c>
    </row>
    <row r="153" spans="1:2" x14ac:dyDescent="0.25">
      <c r="A153">
        <v>3.45</v>
      </c>
      <c r="B153">
        <v>-0.54687970542169495</v>
      </c>
    </row>
    <row r="154" spans="1:2" x14ac:dyDescent="0.25">
      <c r="A154">
        <v>3.4750000000000001</v>
      </c>
      <c r="B154">
        <v>-0.39852986128507756</v>
      </c>
    </row>
    <row r="155" spans="1:2" x14ac:dyDescent="0.25">
      <c r="A155">
        <v>3.5</v>
      </c>
      <c r="B155">
        <v>-0.21515407511074069</v>
      </c>
    </row>
    <row r="156" spans="1:2" x14ac:dyDescent="0.25">
      <c r="A156">
        <v>3.5249999999999999</v>
      </c>
      <c r="B156">
        <v>-1.3693575081812681E-2</v>
      </c>
    </row>
    <row r="157" spans="1:2" x14ac:dyDescent="0.25">
      <c r="A157">
        <v>3.55</v>
      </c>
      <c r="B157">
        <v>0.18741222228504167</v>
      </c>
    </row>
    <row r="158" spans="1:2" x14ac:dyDescent="0.25">
      <c r="A158">
        <v>3.5750000000000002</v>
      </c>
      <c r="B158">
        <v>0.36991358816333353</v>
      </c>
    </row>
    <row r="159" spans="1:2" x14ac:dyDescent="0.25">
      <c r="A159">
        <v>3.6</v>
      </c>
      <c r="B159">
        <v>0.51740562254178191</v>
      </c>
    </row>
    <row r="160" spans="1:2" x14ac:dyDescent="0.25">
      <c r="A160">
        <v>3.625</v>
      </c>
      <c r="B160">
        <v>0.61680064425157988</v>
      </c>
    </row>
    <row r="161" spans="1:2" x14ac:dyDescent="0.25">
      <c r="A161">
        <v>3.65</v>
      </c>
      <c r="B161">
        <v>0.65948590069772006</v>
      </c>
    </row>
    <row r="162" spans="1:2" x14ac:dyDescent="0.25">
      <c r="A162">
        <v>3.6749999999999998</v>
      </c>
      <c r="B162">
        <v>0.64206455406133311</v>
      </c>
    </row>
    <row r="163" spans="1:2" x14ac:dyDescent="0.25">
      <c r="A163">
        <v>3.7</v>
      </c>
      <c r="B163">
        <v>0.56661674406561624</v>
      </c>
    </row>
    <row r="164" spans="1:2" x14ac:dyDescent="0.25">
      <c r="A164">
        <v>3.7250000000000001</v>
      </c>
      <c r="B164">
        <v>0.44046170395730633</v>
      </c>
    </row>
    <row r="165" spans="1:2" x14ac:dyDescent="0.25">
      <c r="A165">
        <v>3.75</v>
      </c>
      <c r="B165">
        <v>0.27544734796747561</v>
      </c>
    </row>
    <row r="166" spans="1:2" x14ac:dyDescent="0.25">
      <c r="A166">
        <v>3.7749999999999999</v>
      </c>
      <c r="B166">
        <v>8.6836317751242925E-2</v>
      </c>
    </row>
    <row r="167" spans="1:2" x14ac:dyDescent="0.25">
      <c r="A167">
        <v>3.8</v>
      </c>
      <c r="B167">
        <v>-0.10810665791434489</v>
      </c>
    </row>
    <row r="168" spans="1:2" x14ac:dyDescent="0.25">
      <c r="A168">
        <v>3.8250000000000002</v>
      </c>
      <c r="B168">
        <v>-0.29169525018735043</v>
      </c>
    </row>
    <row r="169" spans="1:2" x14ac:dyDescent="0.25">
      <c r="A169">
        <v>3.85</v>
      </c>
      <c r="B169">
        <v>-0.44742516573250946</v>
      </c>
    </row>
    <row r="170" spans="1:2" x14ac:dyDescent="0.25">
      <c r="A170">
        <v>3.875</v>
      </c>
      <c r="B170">
        <v>-0.56145562320272169</v>
      </c>
    </row>
    <row r="171" spans="1:2" x14ac:dyDescent="0.25">
      <c r="A171">
        <v>3.9</v>
      </c>
      <c r="B171">
        <v>-0.62383591075622258</v>
      </c>
    </row>
    <row r="172" spans="1:2" x14ac:dyDescent="0.25">
      <c r="A172">
        <v>3.9249999999999998</v>
      </c>
      <c r="B172">
        <v>-0.62936868736969898</v>
      </c>
    </row>
    <row r="173" spans="1:2" x14ac:dyDescent="0.25">
      <c r="A173">
        <v>3.95</v>
      </c>
      <c r="B173">
        <v>-0.57803564609512748</v>
      </c>
    </row>
    <row r="174" spans="1:2" x14ac:dyDescent="0.25">
      <c r="A174">
        <v>3.9750000000000001</v>
      </c>
      <c r="B174">
        <v>-0.47495146827372925</v>
      </c>
    </row>
    <row r="175" spans="1:2" x14ac:dyDescent="0.25">
      <c r="A175">
        <v>4</v>
      </c>
      <c r="B175">
        <v>-0.32985494928062531</v>
      </c>
    </row>
    <row r="176" spans="1:2" x14ac:dyDescent="0.25">
      <c r="A176">
        <v>4.0250000000000004</v>
      </c>
      <c r="B176">
        <v>-0.15618785883918396</v>
      </c>
    </row>
    <row r="177" spans="1:2" x14ac:dyDescent="0.25">
      <c r="A177">
        <v>4.05</v>
      </c>
      <c r="B177">
        <v>3.0151236698208822E-2</v>
      </c>
    </row>
    <row r="178" spans="1:2" x14ac:dyDescent="0.25">
      <c r="A178">
        <v>4.0750000000000002</v>
      </c>
      <c r="B178">
        <v>0.21226256798562729</v>
      </c>
    </row>
    <row r="179" spans="1:2" x14ac:dyDescent="0.25">
      <c r="A179">
        <v>4.0999999999999996</v>
      </c>
      <c r="B179">
        <v>0.37377689164653899</v>
      </c>
    </row>
    <row r="180" spans="1:2" x14ac:dyDescent="0.25">
      <c r="A180">
        <v>4.125</v>
      </c>
      <c r="B180">
        <v>0.50032462060150495</v>
      </c>
    </row>
    <row r="181" spans="1:2" x14ac:dyDescent="0.25">
      <c r="A181">
        <v>4.1500000000000004</v>
      </c>
      <c r="B181">
        <v>0.58081072456130689</v>
      </c>
    </row>
    <row r="182" spans="1:2" x14ac:dyDescent="0.25">
      <c r="A182">
        <v>4.1749999999999998</v>
      </c>
      <c r="B182">
        <v>0.60838264397156372</v>
      </c>
    </row>
    <row r="183" spans="1:2" x14ac:dyDescent="0.25">
      <c r="A183">
        <v>4.2</v>
      </c>
      <c r="B183">
        <v>0.58100727195769153</v>
      </c>
    </row>
    <row r="184" spans="1:2" x14ac:dyDescent="0.25">
      <c r="A184">
        <v>4.2249999999999996</v>
      </c>
      <c r="B184">
        <v>0.50160909985613145</v>
      </c>
    </row>
    <row r="185" spans="1:2" x14ac:dyDescent="0.25">
      <c r="A185">
        <v>4.25</v>
      </c>
      <c r="B185">
        <v>0.37776156828999846</v>
      </c>
    </row>
    <row r="186" spans="1:2" x14ac:dyDescent="0.25">
      <c r="A186">
        <v>4.2750000000000004</v>
      </c>
      <c r="B186">
        <v>0.22096388239645071</v>
      </c>
    </row>
    <row r="187" spans="1:2" x14ac:dyDescent="0.25">
      <c r="A187">
        <v>4.3</v>
      </c>
      <c r="B187">
        <v>4.5572421730597973E-2</v>
      </c>
    </row>
    <row r="188" spans="1:2" x14ac:dyDescent="0.25">
      <c r="A188">
        <v>4.3250000000000002</v>
      </c>
      <c r="B188">
        <v>-0.13251386794804565</v>
      </c>
    </row>
    <row r="189" spans="1:2" x14ac:dyDescent="0.25">
      <c r="A189">
        <v>4.3499999999999996</v>
      </c>
      <c r="B189">
        <v>-0.29729370918669173</v>
      </c>
    </row>
    <row r="190" spans="1:2" x14ac:dyDescent="0.25">
      <c r="A190">
        <v>4.375</v>
      </c>
      <c r="B190">
        <v>-0.43409898403124864</v>
      </c>
    </row>
    <row r="191" spans="1:2" x14ac:dyDescent="0.25">
      <c r="A191">
        <v>4.4000000000000004</v>
      </c>
      <c r="B191">
        <v>-0.53089692596129079</v>
      </c>
    </row>
    <row r="192" spans="1:2" x14ac:dyDescent="0.25">
      <c r="A192">
        <v>4.4249999999999998</v>
      </c>
      <c r="B192">
        <v>-0.57934376089346851</v>
      </c>
    </row>
    <row r="193" spans="1:2" x14ac:dyDescent="0.25">
      <c r="A193">
        <v>4.45</v>
      </c>
      <c r="B193">
        <v>-0.57549801470640205</v>
      </c>
    </row>
    <row r="194" spans="1:2" x14ac:dyDescent="0.25">
      <c r="A194">
        <v>4.4749999999999996</v>
      </c>
      <c r="B194">
        <v>-0.52013312010302681</v>
      </c>
    </row>
    <row r="195" spans="1:2" x14ac:dyDescent="0.25">
      <c r="A195">
        <v>4.5</v>
      </c>
      <c r="B195">
        <v>-0.41862541566010869</v>
      </c>
    </row>
    <row r="196" spans="1:2" x14ac:dyDescent="0.25">
      <c r="A196">
        <v>4.5250000000000004</v>
      </c>
      <c r="B196">
        <v>-0.28043181827961594</v>
      </c>
    </row>
    <row r="197" spans="1:2" x14ac:dyDescent="0.25">
      <c r="A197">
        <v>4.55</v>
      </c>
      <c r="B197">
        <v>-0.11820793736803448</v>
      </c>
    </row>
    <row r="198" spans="1:2" x14ac:dyDescent="0.25">
      <c r="A198">
        <v>4.5750000000000002</v>
      </c>
      <c r="B198">
        <v>5.3351050398456973E-2</v>
      </c>
    </row>
    <row r="199" spans="1:2" x14ac:dyDescent="0.25">
      <c r="A199">
        <v>4.5999999999999996</v>
      </c>
      <c r="B199">
        <v>0.21884058802642187</v>
      </c>
    </row>
    <row r="200" spans="1:2" x14ac:dyDescent="0.25">
      <c r="A200">
        <v>4.625</v>
      </c>
      <c r="B200">
        <v>0.36352767771383454</v>
      </c>
    </row>
    <row r="201" spans="1:2" x14ac:dyDescent="0.25">
      <c r="A201">
        <v>4.6500000000000004</v>
      </c>
      <c r="B201">
        <v>0.47465900404629247</v>
      </c>
    </row>
    <row r="202" spans="1:2" x14ac:dyDescent="0.25">
      <c r="A202">
        <v>4.6749999999999998</v>
      </c>
      <c r="B202">
        <v>0.54258044697518015</v>
      </c>
    </row>
    <row r="203" spans="1:2" x14ac:dyDescent="0.25">
      <c r="A203">
        <v>4.7</v>
      </c>
      <c r="B203">
        <v>0.56157018007034298</v>
      </c>
    </row>
    <row r="204" spans="1:2" x14ac:dyDescent="0.25">
      <c r="A204">
        <v>4.7249999999999996</v>
      </c>
      <c r="B204">
        <v>0.53031403569538105</v>
      </c>
    </row>
    <row r="205" spans="1:2" x14ac:dyDescent="0.25">
      <c r="A205">
        <v>4.75</v>
      </c>
      <c r="B205">
        <v>0.45198435072709897</v>
      </c>
    </row>
    <row r="206" spans="1:2" x14ac:dyDescent="0.25">
      <c r="A206">
        <v>4.7750000000000004</v>
      </c>
      <c r="B206">
        <v>0.33391912699140069</v>
      </c>
    </row>
    <row r="207" spans="1:2" x14ac:dyDescent="0.25">
      <c r="A207">
        <v>4.8</v>
      </c>
      <c r="B207">
        <v>0.1869338548794601</v>
      </c>
    </row>
    <row r="208" spans="1:2" x14ac:dyDescent="0.25">
      <c r="A208">
        <v>4.8250000000000002</v>
      </c>
      <c r="B208">
        <v>2.4330610247986884E-2</v>
      </c>
    </row>
    <row r="209" spans="1:2" x14ac:dyDescent="0.25">
      <c r="A209">
        <v>4.8499999999999996</v>
      </c>
      <c r="B209">
        <v>-0.13930477642617467</v>
      </c>
    </row>
    <row r="210" spans="1:2" x14ac:dyDescent="0.25">
      <c r="A210">
        <v>4.875</v>
      </c>
      <c r="B210">
        <v>-0.28940881226414628</v>
      </c>
    </row>
    <row r="211" spans="1:2" x14ac:dyDescent="0.25">
      <c r="A211">
        <v>4.9000000000000004</v>
      </c>
      <c r="B211">
        <v>-0.41273296918342478</v>
      </c>
    </row>
    <row r="212" spans="1:2" x14ac:dyDescent="0.25">
      <c r="A212">
        <v>4.9249999999999998</v>
      </c>
      <c r="B212">
        <v>-0.49850846880240274</v>
      </c>
    </row>
    <row r="213" spans="1:2" x14ac:dyDescent="0.25">
      <c r="A213">
        <v>4.95</v>
      </c>
      <c r="B213">
        <v>-0.53938128182168499</v>
      </c>
    </row>
    <row r="214" spans="1:2" x14ac:dyDescent="0.25">
      <c r="A214">
        <v>4.9749999999999996</v>
      </c>
      <c r="B214">
        <v>-0.53203670781506229</v>
      </c>
    </row>
    <row r="215" spans="1:2" x14ac:dyDescent="0.25">
      <c r="A215">
        <v>5</v>
      </c>
      <c r="B215">
        <v>-0.47746110797659569</v>
      </c>
    </row>
    <row r="216" spans="1:2" x14ac:dyDescent="0.25">
      <c r="A216">
        <v>5.0250000000000004</v>
      </c>
      <c r="B216">
        <v>-0.38082090561769766</v>
      </c>
    </row>
    <row r="217" spans="1:2" x14ac:dyDescent="0.25">
      <c r="A217">
        <v>5.05</v>
      </c>
      <c r="B217">
        <v>-0.25097293366745066</v>
      </c>
    </row>
    <row r="218" spans="1:2" x14ac:dyDescent="0.25">
      <c r="A218">
        <v>5.0750000000000002</v>
      </c>
      <c r="B218">
        <v>-9.9652590393264656E-2</v>
      </c>
    </row>
    <row r="219" spans="1:2" x14ac:dyDescent="0.25">
      <c r="A219">
        <v>5.0999999999999996</v>
      </c>
      <c r="B219">
        <v>5.958576709501523E-2</v>
      </c>
    </row>
    <row r="220" spans="1:2" x14ac:dyDescent="0.25">
      <c r="A220">
        <v>5.125</v>
      </c>
      <c r="B220">
        <v>0.21258061863416883</v>
      </c>
    </row>
    <row r="221" spans="1:2" x14ac:dyDescent="0.25">
      <c r="A221">
        <v>5.15</v>
      </c>
      <c r="B221">
        <v>0.3458191601979243</v>
      </c>
    </row>
    <row r="222" spans="1:2" x14ac:dyDescent="0.25">
      <c r="A222">
        <v>5.1749999999999998</v>
      </c>
      <c r="B222">
        <v>0.44762624868632361</v>
      </c>
    </row>
    <row r="223" spans="1:2" x14ac:dyDescent="0.25">
      <c r="A223">
        <v>5.2</v>
      </c>
      <c r="B223">
        <v>0.50918226040844927</v>
      </c>
    </row>
    <row r="224" spans="1:2" x14ac:dyDescent="0.25">
      <c r="A224">
        <v>5.2249999999999996</v>
      </c>
      <c r="B224">
        <v>0.52528165428189821</v>
      </c>
    </row>
    <row r="225" spans="1:2" x14ac:dyDescent="0.25">
      <c r="A225">
        <v>5.25</v>
      </c>
      <c r="B225">
        <v>0.49476756364478547</v>
      </c>
    </row>
    <row r="226" spans="1:2" x14ac:dyDescent="0.25">
      <c r="A226">
        <v>5.2750000000000004</v>
      </c>
      <c r="B226">
        <v>0.42060672884356948</v>
      </c>
    </row>
    <row r="227" spans="1:2" x14ac:dyDescent="0.25">
      <c r="A227">
        <v>5.3</v>
      </c>
      <c r="B227">
        <v>0.30960093790282417</v>
      </c>
    </row>
    <row r="228" spans="1:2" x14ac:dyDescent="0.25">
      <c r="A228">
        <v>5.3250000000000002</v>
      </c>
      <c r="B228">
        <v>0.17176305272524051</v>
      </c>
    </row>
    <row r="229" spans="1:2" x14ac:dyDescent="0.25">
      <c r="A229">
        <v>5.35</v>
      </c>
      <c r="B229">
        <v>1.9414875423699893E-2</v>
      </c>
    </row>
    <row r="230" spans="1:2" x14ac:dyDescent="0.25">
      <c r="A230">
        <v>5.375</v>
      </c>
      <c r="B230">
        <v>-0.13391196832505034</v>
      </c>
    </row>
    <row r="231" spans="1:2" x14ac:dyDescent="0.25">
      <c r="A231">
        <v>5.4</v>
      </c>
      <c r="B231">
        <v>-0.27467432404574932</v>
      </c>
    </row>
    <row r="232" spans="1:2" x14ac:dyDescent="0.25">
      <c r="A232">
        <v>5.4249999999999998</v>
      </c>
      <c r="B232">
        <v>-0.39050922786647957</v>
      </c>
    </row>
    <row r="233" spans="1:2" x14ac:dyDescent="0.25">
      <c r="A233">
        <v>5.45</v>
      </c>
      <c r="B233">
        <v>-0.47131464499888354</v>
      </c>
    </row>
    <row r="234" spans="1:2" x14ac:dyDescent="0.25">
      <c r="A234">
        <v>5.4749999999999996</v>
      </c>
      <c r="B234">
        <v>-0.51012526988309526</v>
      </c>
    </row>
    <row r="235" spans="1:2" x14ac:dyDescent="0.25">
      <c r="A235">
        <v>5.5</v>
      </c>
      <c r="B235">
        <v>-0.50370799419053847</v>
      </c>
    </row>
    <row r="236" spans="1:2" x14ac:dyDescent="0.25">
      <c r="A236">
        <v>5.5250000000000004</v>
      </c>
      <c r="B236">
        <v>-0.45282664768133135</v>
      </c>
    </row>
    <row r="237" spans="1:2" x14ac:dyDescent="0.25">
      <c r="A237">
        <v>5.55</v>
      </c>
      <c r="B237">
        <v>-0.36215482710991176</v>
      </c>
    </row>
    <row r="238" spans="1:2" x14ac:dyDescent="0.25">
      <c r="A238">
        <v>5.5750000000000002</v>
      </c>
      <c r="B238">
        <v>-0.23984647988375668</v>
      </c>
    </row>
    <row r="239" spans="1:2" x14ac:dyDescent="0.25">
      <c r="A239">
        <v>5.6</v>
      </c>
      <c r="B239">
        <v>-9.6803710797542422E-2</v>
      </c>
    </row>
    <row r="240" spans="1:2" x14ac:dyDescent="0.25">
      <c r="A240">
        <v>5.625</v>
      </c>
      <c r="B240">
        <v>5.4292547076589787E-2</v>
      </c>
    </row>
    <row r="241" spans="1:2" x14ac:dyDescent="0.25">
      <c r="A241">
        <v>5.65</v>
      </c>
      <c r="B241">
        <v>0.20010305755084634</v>
      </c>
    </row>
    <row r="242" spans="1:2" x14ac:dyDescent="0.25">
      <c r="A242">
        <v>5.6749999999999998</v>
      </c>
      <c r="B242">
        <v>0.32780335868505306</v>
      </c>
    </row>
    <row r="243" spans="1:2" x14ac:dyDescent="0.25">
      <c r="A243">
        <v>5.7</v>
      </c>
      <c r="B243">
        <v>0.42620669103270487</v>
      </c>
    </row>
    <row r="244" spans="1:2" x14ac:dyDescent="0.25">
      <c r="A244">
        <v>5.7249999999999996</v>
      </c>
      <c r="B244">
        <v>0.48673896240324466</v>
      </c>
    </row>
    <row r="245" spans="1:2" x14ac:dyDescent="0.25">
      <c r="A245">
        <v>5.75</v>
      </c>
      <c r="B245">
        <v>0.50418128978760124</v>
      </c>
    </row>
    <row r="246" spans="1:2" x14ac:dyDescent="0.25">
      <c r="A246">
        <v>5.7750000000000004</v>
      </c>
      <c r="B246">
        <v>0.47711627806928536</v>
      </c>
    </row>
    <row r="247" spans="1:2" x14ac:dyDescent="0.25">
      <c r="A247">
        <v>5.8</v>
      </c>
      <c r="B247">
        <v>0.40804025467650107</v>
      </c>
    </row>
    <row r="248" spans="1:2" x14ac:dyDescent="0.25">
      <c r="A248">
        <v>5.8250000000000002</v>
      </c>
      <c r="B248">
        <v>0.30313289737425686</v>
      </c>
    </row>
    <row r="249" spans="1:2" x14ac:dyDescent="0.25">
      <c r="A249">
        <v>5.85</v>
      </c>
      <c r="B249">
        <v>0.17170552707128686</v>
      </c>
    </row>
    <row r="250" spans="1:2" x14ac:dyDescent="0.25">
      <c r="A250">
        <v>5.875</v>
      </c>
      <c r="B250">
        <v>2.5377206837294809E-2</v>
      </c>
    </row>
    <row r="251" spans="1:2" x14ac:dyDescent="0.25">
      <c r="A251">
        <v>5.9</v>
      </c>
      <c r="B251">
        <v>-0.12294870799500524</v>
      </c>
    </row>
    <row r="252" spans="1:2" x14ac:dyDescent="0.25">
      <c r="A252">
        <v>5.9249999999999998</v>
      </c>
      <c r="B252">
        <v>-0.26021779933139488</v>
      </c>
    </row>
    <row r="253" spans="1:2" x14ac:dyDescent="0.25">
      <c r="A253">
        <v>5.95</v>
      </c>
      <c r="B253">
        <v>-0.37436853696071565</v>
      </c>
    </row>
    <row r="254" spans="1:2" x14ac:dyDescent="0.25">
      <c r="A254">
        <v>5.9749999999999996</v>
      </c>
      <c r="B254">
        <v>-0.45538721412581951</v>
      </c>
    </row>
    <row r="255" spans="1:2" x14ac:dyDescent="0.25">
      <c r="A255">
        <v>6</v>
      </c>
      <c r="B255">
        <v>-0.49618209780386829</v>
      </c>
    </row>
    <row r="256" spans="1:2" x14ac:dyDescent="0.25">
      <c r="A256">
        <v>6.0250000000000004</v>
      </c>
      <c r="B256">
        <v>-0.49320092179288005</v>
      </c>
    </row>
    <row r="257" spans="1:2" x14ac:dyDescent="0.25">
      <c r="A257">
        <v>6.05</v>
      </c>
      <c r="B257">
        <v>-0.446738289485684</v>
      </c>
    </row>
    <row r="258" spans="1:2" x14ac:dyDescent="0.25">
      <c r="A258">
        <v>6.0750000000000002</v>
      </c>
      <c r="B258">
        <v>-0.36090658142439702</v>
      </c>
    </row>
    <row r="259" spans="1:2" x14ac:dyDescent="0.25">
      <c r="A259">
        <v>6.1</v>
      </c>
      <c r="B259">
        <v>-0.24327323868338524</v>
      </c>
    </row>
    <row r="260" spans="1:2" x14ac:dyDescent="0.25">
      <c r="A260">
        <v>6.125</v>
      </c>
      <c r="B260">
        <v>-0.10419628591650987</v>
      </c>
    </row>
    <row r="261" spans="1:2" x14ac:dyDescent="0.25">
      <c r="A261">
        <v>6.15</v>
      </c>
      <c r="B261">
        <v>4.4083835467836965E-2</v>
      </c>
    </row>
    <row r="262" spans="1:2" x14ac:dyDescent="0.25">
      <c r="A262">
        <v>6.1749999999999998</v>
      </c>
      <c r="B262">
        <v>0.18851689377400174</v>
      </c>
    </row>
    <row r="263" spans="1:2" x14ac:dyDescent="0.25">
      <c r="A263">
        <v>6.2</v>
      </c>
      <c r="B263">
        <v>0.3163864349465636</v>
      </c>
    </row>
    <row r="264" spans="1:2" x14ac:dyDescent="0.25">
      <c r="A264">
        <v>6.2249999999999996</v>
      </c>
      <c r="B264">
        <v>0.41642459072915039</v>
      </c>
    </row>
    <row r="265" spans="1:2" x14ac:dyDescent="0.25">
      <c r="A265">
        <v>6.25</v>
      </c>
      <c r="B265">
        <v>0.47980088333579007</v>
      </c>
    </row>
    <row r="266" spans="1:2" x14ac:dyDescent="0.25">
      <c r="A266">
        <v>6.2750000000000004</v>
      </c>
      <c r="B266">
        <v>0.50089867312353853</v>
      </c>
    </row>
    <row r="267" spans="1:2" x14ac:dyDescent="0.25">
      <c r="A267">
        <v>6.3</v>
      </c>
      <c r="B267">
        <v>0.4778112846528017</v>
      </c>
    </row>
    <row r="268" spans="1:2" x14ac:dyDescent="0.25">
      <c r="A268">
        <v>6.3250000000000002</v>
      </c>
      <c r="B268">
        <v>0.4125141533041099</v>
      </c>
    </row>
    <row r="269" spans="1:2" x14ac:dyDescent="0.25">
      <c r="A269">
        <v>6.35</v>
      </c>
      <c r="B269">
        <v>0.31069746639316964</v>
      </c>
    </row>
    <row r="270" spans="1:2" x14ac:dyDescent="0.25">
      <c r="A270">
        <v>6.375</v>
      </c>
      <c r="B270">
        <v>0.18127330318028506</v>
      </c>
    </row>
    <row r="271" spans="1:2" x14ac:dyDescent="0.25">
      <c r="A271">
        <v>6.4</v>
      </c>
      <c r="B271">
        <v>3.5599655158983924E-2</v>
      </c>
    </row>
    <row r="272" spans="1:2" x14ac:dyDescent="0.25">
      <c r="A272">
        <v>6.4249999999999998</v>
      </c>
      <c r="B272">
        <v>-0.11351152758106911</v>
      </c>
    </row>
    <row r="273" spans="1:2" x14ac:dyDescent="0.25">
      <c r="A273">
        <v>6.45</v>
      </c>
      <c r="B273">
        <v>-0.25291612077728787</v>
      </c>
    </row>
    <row r="274" spans="1:2" x14ac:dyDescent="0.25">
      <c r="A274">
        <v>6.4749999999999996</v>
      </c>
      <c r="B274">
        <v>-0.37029173140413596</v>
      </c>
    </row>
    <row r="275" spans="1:2" x14ac:dyDescent="0.25">
      <c r="A275">
        <v>6.5</v>
      </c>
      <c r="B275">
        <v>-0.45522290611332961</v>
      </c>
    </row>
    <row r="276" spans="1:2" x14ac:dyDescent="0.25">
      <c r="A276">
        <v>6.5250000000000004</v>
      </c>
      <c r="B276">
        <v>-0.50012247604135285</v>
      </c>
    </row>
    <row r="277" spans="1:2" x14ac:dyDescent="0.25">
      <c r="A277">
        <v>6.55</v>
      </c>
      <c r="B277">
        <v>-0.50090782699631176</v>
      </c>
    </row>
    <row r="278" spans="1:2" x14ac:dyDescent="0.25">
      <c r="A278">
        <v>6.5750000000000002</v>
      </c>
      <c r="B278">
        <v>-0.45737196856815876</v>
      </c>
    </row>
    <row r="279" spans="1:2" x14ac:dyDescent="0.25">
      <c r="A279">
        <v>6.6</v>
      </c>
      <c r="B279">
        <v>-0.37321569077676969</v>
      </c>
    </row>
    <row r="280" spans="1:2" x14ac:dyDescent="0.25">
      <c r="A280">
        <v>6.625</v>
      </c>
      <c r="B280">
        <v>-0.25573657311149717</v>
      </c>
    </row>
    <row r="281" spans="1:2" x14ac:dyDescent="0.25">
      <c r="A281">
        <v>6.65</v>
      </c>
      <c r="B281">
        <v>-0.1152006010330509</v>
      </c>
    </row>
    <row r="282" spans="1:2" x14ac:dyDescent="0.25">
      <c r="A282">
        <v>6.6749999999999998</v>
      </c>
      <c r="B282">
        <v>3.6049957389113596E-2</v>
      </c>
    </row>
    <row r="283" spans="1:2" x14ac:dyDescent="0.25">
      <c r="A283">
        <v>6.7</v>
      </c>
      <c r="B283">
        <v>0.18467539796413573</v>
      </c>
    </row>
    <row r="284" spans="1:2" x14ac:dyDescent="0.25">
      <c r="A284">
        <v>6.7249999999999996</v>
      </c>
      <c r="B284">
        <v>0.31751036554254913</v>
      </c>
    </row>
    <row r="285" spans="1:2" x14ac:dyDescent="0.25">
      <c r="A285">
        <v>6.75</v>
      </c>
      <c r="B285">
        <v>0.42272612534593157</v>
      </c>
    </row>
    <row r="286" spans="1:2" x14ac:dyDescent="0.25">
      <c r="A286">
        <v>6.7750000000000004</v>
      </c>
      <c r="B286">
        <v>0.49088110877593022</v>
      </c>
    </row>
    <row r="287" spans="1:2" x14ac:dyDescent="0.25">
      <c r="A287">
        <v>6.8</v>
      </c>
      <c r="B287">
        <v>0.51576671126760398</v>
      </c>
    </row>
    <row r="288" spans="1:2" x14ac:dyDescent="0.25">
      <c r="A288">
        <v>6.8250000000000002</v>
      </c>
      <c r="B288">
        <v>0.49497271765419815</v>
      </c>
    </row>
    <row r="289" spans="1:2" x14ac:dyDescent="0.25">
      <c r="A289">
        <v>6.85</v>
      </c>
      <c r="B289">
        <v>0.43012087577225577</v>
      </c>
    </row>
    <row r="290" spans="1:2" x14ac:dyDescent="0.25">
      <c r="A290">
        <v>6.875</v>
      </c>
      <c r="B290">
        <v>0.32674396979167297</v>
      </c>
    </row>
    <row r="291" spans="1:2" x14ac:dyDescent="0.25">
      <c r="A291">
        <v>6.9</v>
      </c>
      <c r="B291">
        <v>0.19381877282361187</v>
      </c>
    </row>
    <row r="292" spans="1:2" x14ac:dyDescent="0.25">
      <c r="A292">
        <v>6.9249999999999998</v>
      </c>
      <c r="B292">
        <v>4.2991782268274645E-2</v>
      </c>
    </row>
    <row r="293" spans="1:2" x14ac:dyDescent="0.25">
      <c r="A293">
        <v>6.95</v>
      </c>
      <c r="B293">
        <v>-0.11243601990216448</v>
      </c>
    </row>
    <row r="294" spans="1:2" x14ac:dyDescent="0.25">
      <c r="A294">
        <v>6.9749999999999996</v>
      </c>
      <c r="B294">
        <v>-0.25867741235362707</v>
      </c>
    </row>
    <row r="295" spans="1:2" x14ac:dyDescent="0.25">
      <c r="A295">
        <v>7</v>
      </c>
      <c r="B295">
        <v>-0.38267805620418049</v>
      </c>
    </row>
    <row r="296" spans="1:2" x14ac:dyDescent="0.25">
      <c r="A296">
        <v>7.0250000000000004</v>
      </c>
      <c r="B296">
        <v>-0.4732790845309422</v>
      </c>
    </row>
    <row r="297" spans="1:2" x14ac:dyDescent="0.25">
      <c r="A297">
        <v>7.05</v>
      </c>
      <c r="B297">
        <v>-0.52221989419412274</v>
      </c>
    </row>
    <row r="298" spans="1:2" x14ac:dyDescent="0.25">
      <c r="A298">
        <v>7.0750000000000002</v>
      </c>
      <c r="B298">
        <v>-0.52489116318830187</v>
      </c>
    </row>
    <row r="299" spans="1:2" x14ac:dyDescent="0.25">
      <c r="A299">
        <v>7.1</v>
      </c>
      <c r="B299">
        <v>-0.48076946474796223</v>
      </c>
    </row>
    <row r="300" spans="1:2" x14ac:dyDescent="0.25">
      <c r="A300">
        <v>7.125</v>
      </c>
      <c r="B300">
        <v>-0.39349245073821459</v>
      </c>
    </row>
    <row r="301" spans="1:2" x14ac:dyDescent="0.25">
      <c r="A301">
        <v>7.15</v>
      </c>
      <c r="B301">
        <v>-0.27056505566653377</v>
      </c>
    </row>
    <row r="302" spans="1:2" x14ac:dyDescent="0.25">
      <c r="A302">
        <v>7.1749999999999998</v>
      </c>
      <c r="B302">
        <v>-0.12271978627964381</v>
      </c>
    </row>
    <row r="303" spans="1:2" x14ac:dyDescent="0.25">
      <c r="A303">
        <v>7.2</v>
      </c>
      <c r="B303">
        <v>3.701496189552303E-2</v>
      </c>
    </row>
    <row r="304" spans="1:2" x14ac:dyDescent="0.25">
      <c r="A304">
        <v>7.2249999999999996</v>
      </c>
      <c r="B304">
        <v>0.19445823013799882</v>
      </c>
    </row>
    <row r="305" spans="1:2" x14ac:dyDescent="0.25">
      <c r="A305">
        <v>7.25</v>
      </c>
      <c r="B305">
        <v>0.33553161348808824</v>
      </c>
    </row>
    <row r="306" spans="1:2" x14ac:dyDescent="0.25">
      <c r="A306">
        <v>7.2750000000000004</v>
      </c>
      <c r="B306">
        <v>0.44751546951511112</v>
      </c>
    </row>
    <row r="307" spans="1:2" x14ac:dyDescent="0.25">
      <c r="A307">
        <v>7.3</v>
      </c>
      <c r="B307">
        <v>0.52019439492766983</v>
      </c>
    </row>
    <row r="308" spans="1:2" x14ac:dyDescent="0.25">
      <c r="A308">
        <v>7.3250000000000002</v>
      </c>
      <c r="B308">
        <v>0.54678894911320874</v>
      </c>
    </row>
    <row r="309" spans="1:2" x14ac:dyDescent="0.25">
      <c r="A309">
        <v>7.35</v>
      </c>
      <c r="B309">
        <v>0.52458865866417237</v>
      </c>
    </row>
    <row r="310" spans="1:2" x14ac:dyDescent="0.25">
      <c r="A310">
        <v>7.375</v>
      </c>
      <c r="B310">
        <v>0.45522713873615128</v>
      </c>
    </row>
    <row r="311" spans="1:2" x14ac:dyDescent="0.25">
      <c r="A311">
        <v>7.4</v>
      </c>
      <c r="B311">
        <v>0.34457150441263817</v>
      </c>
    </row>
    <row r="312" spans="1:2" x14ac:dyDescent="0.25">
      <c r="A312">
        <v>7.4249999999999998</v>
      </c>
      <c r="B312">
        <v>0.20223238837828117</v>
      </c>
    </row>
    <row r="313" spans="1:2" x14ac:dyDescent="0.25">
      <c r="A313">
        <v>7.45</v>
      </c>
      <c r="B313">
        <v>4.0734818244441806E-2</v>
      </c>
    </row>
    <row r="314" spans="1:2" x14ac:dyDescent="0.25">
      <c r="A314">
        <v>7.4749999999999996</v>
      </c>
      <c r="B314">
        <v>-0.12557909156482092</v>
      </c>
    </row>
    <row r="315" spans="1:2" x14ac:dyDescent="0.25">
      <c r="A315">
        <v>7.5</v>
      </c>
      <c r="B315">
        <v>-0.28181998948711162</v>
      </c>
    </row>
    <row r="316" spans="1:2" x14ac:dyDescent="0.25">
      <c r="A316">
        <v>7.5250000000000004</v>
      </c>
      <c r="B316">
        <v>-0.41388163164685421</v>
      </c>
    </row>
    <row r="317" spans="1:2" x14ac:dyDescent="0.25">
      <c r="A317">
        <v>7.55</v>
      </c>
      <c r="B317">
        <v>-0.509713120405208</v>
      </c>
    </row>
    <row r="318" spans="1:2" x14ac:dyDescent="0.25">
      <c r="A318">
        <v>7.5750000000000002</v>
      </c>
      <c r="B318">
        <v>-0.56041842725147817</v>
      </c>
    </row>
    <row r="319" spans="1:2" x14ac:dyDescent="0.25">
      <c r="A319">
        <v>7.6</v>
      </c>
      <c r="B319">
        <v>-0.56108289401746303</v>
      </c>
    </row>
    <row r="320" spans="1:2" x14ac:dyDescent="0.25">
      <c r="A320">
        <v>7.625</v>
      </c>
      <c r="B320">
        <v>-0.51124985895539321</v>
      </c>
    </row>
    <row r="321" spans="1:2" x14ac:dyDescent="0.25">
      <c r="A321">
        <v>7.65</v>
      </c>
      <c r="B321">
        <v>-0.41500115946183913</v>
      </c>
    </row>
    <row r="322" spans="1:2" x14ac:dyDescent="0.25">
      <c r="A322">
        <v>7.6749999999999998</v>
      </c>
      <c r="B322">
        <v>-0.28063035833786715</v>
      </c>
    </row>
    <row r="323" spans="1:2" x14ac:dyDescent="0.25">
      <c r="A323">
        <v>7.7</v>
      </c>
      <c r="B323">
        <v>-0.11993402653732968</v>
      </c>
    </row>
    <row r="324" spans="1:2" x14ac:dyDescent="0.25">
      <c r="A324">
        <v>7.7249999999999996</v>
      </c>
      <c r="B324">
        <v>5.2818970051294711E-2</v>
      </c>
    </row>
    <row r="325" spans="1:2" x14ac:dyDescent="0.25">
      <c r="A325">
        <v>7.75</v>
      </c>
      <c r="B325">
        <v>0.22215062395962021</v>
      </c>
    </row>
    <row r="326" spans="1:2" x14ac:dyDescent="0.25">
      <c r="A326">
        <v>7.7750000000000004</v>
      </c>
      <c r="B326">
        <v>0.37275794539310941</v>
      </c>
    </row>
    <row r="327" spans="1:2" x14ac:dyDescent="0.25">
      <c r="A327">
        <v>7.8</v>
      </c>
      <c r="B327">
        <v>0.49089460628790355</v>
      </c>
    </row>
    <row r="328" spans="1:2" x14ac:dyDescent="0.25">
      <c r="A328">
        <v>7.8250000000000002</v>
      </c>
      <c r="B328">
        <v>0.5656254580279112</v>
      </c>
    </row>
    <row r="329" spans="1:2" x14ac:dyDescent="0.25">
      <c r="A329">
        <v>7.85</v>
      </c>
      <c r="B329">
        <v>0.58983944730677862</v>
      </c>
    </row>
    <row r="330" spans="1:2" x14ac:dyDescent="0.25">
      <c r="A330">
        <v>7.875</v>
      </c>
      <c r="B330">
        <v>0.5609270348049098</v>
      </c>
    </row>
    <row r="331" spans="1:2" x14ac:dyDescent="0.25">
      <c r="A331">
        <v>7.9</v>
      </c>
      <c r="B331">
        <v>0.48105751217301601</v>
      </c>
    </row>
    <row r="332" spans="1:2" x14ac:dyDescent="0.25">
      <c r="A332">
        <v>7.9249999999999998</v>
      </c>
      <c r="B332">
        <v>0.35702707161828751</v>
      </c>
    </row>
    <row r="333" spans="1:2" x14ac:dyDescent="0.25">
      <c r="A333">
        <v>7.95</v>
      </c>
      <c r="B333">
        <v>0.1996869770149069</v>
      </c>
    </row>
    <row r="334" spans="1:2" x14ac:dyDescent="0.25">
      <c r="A334">
        <v>7.9749999999999996</v>
      </c>
      <c r="B334">
        <v>2.299926986527806E-2</v>
      </c>
    </row>
    <row r="335" spans="1:2" x14ac:dyDescent="0.25">
      <c r="A335">
        <v>8</v>
      </c>
      <c r="B335">
        <v>-0.15719833442700401</v>
      </c>
    </row>
    <row r="336" spans="1:2" x14ac:dyDescent="0.25">
      <c r="A336">
        <v>8.0250000000000004</v>
      </c>
      <c r="B336">
        <v>-0.32460949000824602</v>
      </c>
    </row>
    <row r="337" spans="1:2" x14ac:dyDescent="0.25">
      <c r="A337">
        <v>8.0500000000000007</v>
      </c>
      <c r="B337">
        <v>-0.46395167640823459</v>
      </c>
    </row>
    <row r="338" spans="1:2" x14ac:dyDescent="0.25">
      <c r="A338">
        <v>8.0749999999999993</v>
      </c>
      <c r="B338">
        <v>-0.56235115367704147</v>
      </c>
    </row>
    <row r="339" spans="1:2" x14ac:dyDescent="0.25">
      <c r="A339">
        <v>8.1</v>
      </c>
      <c r="B339">
        <v>-0.61053310263879579</v>
      </c>
    </row>
    <row r="340" spans="1:2" x14ac:dyDescent="0.25">
      <c r="A340">
        <v>8.125</v>
      </c>
      <c r="B340">
        <v>-0.60369685322736011</v>
      </c>
    </row>
    <row r="341" spans="1:2" x14ac:dyDescent="0.25">
      <c r="A341">
        <v>8.15</v>
      </c>
      <c r="B341">
        <v>-0.54199351280272801</v>
      </c>
    </row>
    <row r="342" spans="1:2" x14ac:dyDescent="0.25">
      <c r="A342">
        <v>8.1750000000000007</v>
      </c>
      <c r="B342">
        <v>-0.43055853645018083</v>
      </c>
    </row>
    <row r="343" spans="1:2" x14ac:dyDescent="0.25">
      <c r="A343">
        <v>8.1999999999999993</v>
      </c>
      <c r="B343">
        <v>-0.27909172128391957</v>
      </c>
    </row>
    <row r="344" spans="1:2" x14ac:dyDescent="0.25">
      <c r="A344">
        <v>8.2249999999999996</v>
      </c>
      <c r="B344">
        <v>-0.10101817853239439</v>
      </c>
    </row>
    <row r="345" spans="1:2" x14ac:dyDescent="0.25">
      <c r="A345">
        <v>8.25</v>
      </c>
      <c r="B345">
        <v>8.7697684473834664E-2</v>
      </c>
    </row>
    <row r="346" spans="1:2" x14ac:dyDescent="0.25">
      <c r="A346">
        <v>8.2750000000000004</v>
      </c>
      <c r="B346">
        <v>0.26998078982286966</v>
      </c>
    </row>
    <row r="347" spans="1:2" x14ac:dyDescent="0.25">
      <c r="A347">
        <v>8.3000000000000007</v>
      </c>
      <c r="B347">
        <v>0.42918903588580859</v>
      </c>
    </row>
    <row r="348" spans="1:2" x14ac:dyDescent="0.25">
      <c r="A348">
        <v>8.3249999999999993</v>
      </c>
      <c r="B348">
        <v>0.55063254422134611</v>
      </c>
    </row>
    <row r="349" spans="1:2" x14ac:dyDescent="0.25">
      <c r="A349">
        <v>8.35</v>
      </c>
      <c r="B349">
        <v>0.62292982968528221</v>
      </c>
    </row>
    <row r="350" spans="1:2" x14ac:dyDescent="0.25">
      <c r="A350">
        <v>8.375</v>
      </c>
      <c r="B350">
        <v>0.6390756183998948</v>
      </c>
    </row>
    <row r="351" spans="1:2" x14ac:dyDescent="0.25">
      <c r="A351">
        <v>8.4</v>
      </c>
      <c r="B351">
        <v>0.59712001909941881</v>
      </c>
    </row>
    <row r="352" spans="1:2" x14ac:dyDescent="0.25">
      <c r="A352">
        <v>8.4250000000000007</v>
      </c>
      <c r="B352">
        <v>0.50039316495922381</v>
      </c>
    </row>
    <row r="353" spans="1:2" x14ac:dyDescent="0.25">
      <c r="A353">
        <v>8.4499999999999993</v>
      </c>
      <c r="B353">
        <v>0.35725024891235446</v>
      </c>
    </row>
    <row r="354" spans="1:2" x14ac:dyDescent="0.25">
      <c r="A354">
        <v>8.4749999999999996</v>
      </c>
      <c r="B354">
        <v>0.18035541831996646</v>
      </c>
    </row>
    <row r="355" spans="1:2" x14ac:dyDescent="0.25">
      <c r="A355">
        <v>8.5</v>
      </c>
      <c r="B355">
        <v>-1.443467636311177E-2</v>
      </c>
    </row>
    <row r="356" spans="1:2" x14ac:dyDescent="0.25">
      <c r="A356">
        <v>8.5250000000000004</v>
      </c>
      <c r="B356">
        <v>-0.20948965606607484</v>
      </c>
    </row>
    <row r="357" spans="1:2" x14ac:dyDescent="0.25">
      <c r="A357">
        <v>8.5500000000000007</v>
      </c>
      <c r="B357">
        <v>-0.38699982513207631</v>
      </c>
    </row>
    <row r="358" spans="1:2" x14ac:dyDescent="0.25">
      <c r="A358">
        <v>8.5749999999999993</v>
      </c>
      <c r="B358">
        <v>-0.53060215868835592</v>
      </c>
    </row>
    <row r="359" spans="1:2" x14ac:dyDescent="0.25">
      <c r="A359">
        <v>8.6</v>
      </c>
      <c r="B359">
        <v>-0.62688943039745859</v>
      </c>
    </row>
    <row r="360" spans="1:2" x14ac:dyDescent="0.25">
      <c r="A360">
        <v>8.625</v>
      </c>
      <c r="B360">
        <v>-0.66666322198530104</v>
      </c>
    </row>
    <row r="361" spans="1:2" x14ac:dyDescent="0.25">
      <c r="A361">
        <v>8.65</v>
      </c>
      <c r="B361">
        <v>-0.64581359000564253</v>
      </c>
    </row>
    <row r="362" spans="1:2" x14ac:dyDescent="0.25">
      <c r="A362">
        <v>8.6750000000000007</v>
      </c>
      <c r="B362">
        <v>-0.56574117782563293</v>
      </c>
    </row>
    <row r="363" spans="1:2" x14ac:dyDescent="0.25">
      <c r="A363">
        <v>8.6999999999999993</v>
      </c>
      <c r="B363">
        <v>-0.43327864328030208</v>
      </c>
    </row>
    <row r="364" spans="1:2" x14ac:dyDescent="0.25">
      <c r="A364">
        <v>8.7249999999999996</v>
      </c>
      <c r="B364">
        <v>-0.26011374222303885</v>
      </c>
    </row>
    <row r="365" spans="1:2" x14ac:dyDescent="0.25">
      <c r="A365">
        <v>8.75</v>
      </c>
      <c r="B365">
        <v>-6.1762138082871731E-2</v>
      </c>
    </row>
    <row r="366" spans="1:2" x14ac:dyDescent="0.25">
      <c r="A366">
        <v>8.7750000000000004</v>
      </c>
      <c r="B366">
        <v>0.14382019986568953</v>
      </c>
    </row>
    <row r="367" spans="1:2" x14ac:dyDescent="0.25">
      <c r="A367">
        <v>8.8000000000000007</v>
      </c>
      <c r="B367">
        <v>0.33786117371559488</v>
      </c>
    </row>
    <row r="368" spans="1:2" x14ac:dyDescent="0.25">
      <c r="A368">
        <v>8.8249999999999993</v>
      </c>
      <c r="B368">
        <v>0.50248652630288548</v>
      </c>
    </row>
    <row r="369" spans="1:2" x14ac:dyDescent="0.25">
      <c r="A369">
        <v>8.85</v>
      </c>
      <c r="B369">
        <v>0.62236712454488585</v>
      </c>
    </row>
    <row r="370" spans="1:2" x14ac:dyDescent="0.25">
      <c r="A370">
        <v>8.875</v>
      </c>
      <c r="B370">
        <v>0.68614766806895777</v>
      </c>
    </row>
    <row r="371" spans="1:2" x14ac:dyDescent="0.25">
      <c r="A371">
        <v>8.9</v>
      </c>
      <c r="B371">
        <v>0.68752353632709862</v>
      </c>
    </row>
    <row r="372" spans="1:2" x14ac:dyDescent="0.25">
      <c r="A372">
        <v>8.9250000000000007</v>
      </c>
      <c r="B372">
        <v>0.62586353611912904</v>
      </c>
    </row>
    <row r="373" spans="1:2" x14ac:dyDescent="0.25">
      <c r="A373">
        <v>8.9499999999999993</v>
      </c>
      <c r="B373">
        <v>0.50631707803986925</v>
      </c>
    </row>
    <row r="374" spans="1:2" x14ac:dyDescent="0.25">
      <c r="A374">
        <v>8.9749999999999996</v>
      </c>
      <c r="B374">
        <v>0.339391141078773</v>
      </c>
    </row>
    <row r="375" spans="1:2" x14ac:dyDescent="0.25">
      <c r="A375">
        <v>9</v>
      </c>
      <c r="B375">
        <v>0.14003102780651908</v>
      </c>
    </row>
    <row r="376" spans="1:2" x14ac:dyDescent="0.25">
      <c r="A376">
        <v>9.0250000000000004</v>
      </c>
      <c r="B376">
        <v>-7.3715095444448125E-2</v>
      </c>
    </row>
    <row r="377" spans="1:2" x14ac:dyDescent="0.25">
      <c r="A377">
        <v>9.0500000000000007</v>
      </c>
      <c r="B377">
        <v>-0.28232880437046881</v>
      </c>
    </row>
    <row r="378" spans="1:2" x14ac:dyDescent="0.25">
      <c r="A378">
        <v>9.0749999999999993</v>
      </c>
      <c r="B378">
        <v>-0.46660361460474054</v>
      </c>
    </row>
    <row r="379" spans="1:2" x14ac:dyDescent="0.25">
      <c r="A379">
        <v>9.1</v>
      </c>
      <c r="B379">
        <v>-0.60941405614761168</v>
      </c>
    </row>
    <row r="380" spans="1:2" x14ac:dyDescent="0.25">
      <c r="A380">
        <v>9.125</v>
      </c>
      <c r="B380">
        <v>-0.69730860160777441</v>
      </c>
    </row>
    <row r="381" spans="1:2" x14ac:dyDescent="0.25">
      <c r="A381">
        <v>9.15</v>
      </c>
      <c r="B381">
        <v>-0.72177814863056122</v>
      </c>
    </row>
    <row r="382" spans="1:2" x14ac:dyDescent="0.25">
      <c r="A382">
        <v>9.1750000000000007</v>
      </c>
      <c r="B382">
        <v>-0.68008029929660019</v>
      </c>
    </row>
    <row r="383" spans="1:2" x14ac:dyDescent="0.25">
      <c r="A383">
        <v>9.1999999999999993</v>
      </c>
      <c r="B383">
        <v>-0.57553954113151651</v>
      </c>
    </row>
    <row r="384" spans="1:2" x14ac:dyDescent="0.25">
      <c r="A384">
        <v>9.2249999999999996</v>
      </c>
      <c r="B384">
        <v>-0.4172910446400227</v>
      </c>
    </row>
    <row r="385" spans="1:2" x14ac:dyDescent="0.25">
      <c r="A385">
        <v>9.25</v>
      </c>
      <c r="B385">
        <v>-0.21948682807215131</v>
      </c>
    </row>
    <row r="386" spans="1:2" x14ac:dyDescent="0.25">
      <c r="A386">
        <v>9.2750000000000004</v>
      </c>
      <c r="B386">
        <v>-3.2818990236549439E-5</v>
      </c>
    </row>
    <row r="387" spans="1:2" x14ac:dyDescent="0.25">
      <c r="A387">
        <v>9.3000000000000007</v>
      </c>
      <c r="B387">
        <v>0.22103074817273285</v>
      </c>
    </row>
    <row r="388" spans="1:2" x14ac:dyDescent="0.25">
      <c r="A388">
        <v>9.3249999999999993</v>
      </c>
      <c r="B388">
        <v>0.42335923346500515</v>
      </c>
    </row>
    <row r="389" spans="1:2" x14ac:dyDescent="0.25">
      <c r="A389">
        <v>9.35</v>
      </c>
      <c r="B389">
        <v>0.58817671507414371</v>
      </c>
    </row>
    <row r="390" spans="1:2" x14ac:dyDescent="0.25">
      <c r="A390">
        <v>9.375</v>
      </c>
      <c r="B390">
        <v>0.70001980048693413</v>
      </c>
    </row>
    <row r="391" spans="1:2" x14ac:dyDescent="0.25">
      <c r="A391">
        <v>9.4</v>
      </c>
      <c r="B391">
        <v>0.74819003193760791</v>
      </c>
    </row>
    <row r="392" spans="1:2" x14ac:dyDescent="0.25">
      <c r="A392">
        <v>9.4250000000000007</v>
      </c>
      <c r="B392">
        <v>0.72777831483963529</v>
      </c>
    </row>
    <row r="393" spans="1:2" x14ac:dyDescent="0.25">
      <c r="A393">
        <v>9.4499999999999993</v>
      </c>
      <c r="B393">
        <v>0.64016317638516829</v>
      </c>
    </row>
    <row r="394" spans="1:2" x14ac:dyDescent="0.25">
      <c r="A394">
        <v>9.4749999999999996</v>
      </c>
      <c r="B394">
        <v>0.4929324611386825</v>
      </c>
    </row>
    <row r="395" spans="1:2" x14ac:dyDescent="0.25">
      <c r="A395">
        <v>9.5</v>
      </c>
      <c r="B395">
        <v>0.29923095104124658</v>
      </c>
    </row>
    <row r="396" spans="1:2" x14ac:dyDescent="0.25">
      <c r="A396">
        <v>9.5250000000000004</v>
      </c>
      <c r="B396">
        <v>7.6589507675012214E-2</v>
      </c>
    </row>
    <row r="397" spans="1:2" x14ac:dyDescent="0.25">
      <c r="A397">
        <v>9.5500000000000007</v>
      </c>
      <c r="B397">
        <v>-0.15466024196148515</v>
      </c>
    </row>
    <row r="398" spans="1:2" x14ac:dyDescent="0.25">
      <c r="A398">
        <v>9.5749999999999993</v>
      </c>
      <c r="B398">
        <v>-0.37324244566885578</v>
      </c>
    </row>
    <row r="399" spans="1:2" x14ac:dyDescent="0.25">
      <c r="A399">
        <v>9.6</v>
      </c>
      <c r="B399">
        <v>-0.55889528034662184</v>
      </c>
    </row>
    <row r="400" spans="1:2" x14ac:dyDescent="0.25">
      <c r="A400">
        <v>9.625</v>
      </c>
      <c r="B400">
        <v>-0.69425060300102637</v>
      </c>
    </row>
    <row r="401" spans="1:2" x14ac:dyDescent="0.25">
      <c r="A401">
        <v>9.65</v>
      </c>
      <c r="B401">
        <v>-0.766460486882651</v>
      </c>
    </row>
    <row r="402" spans="1:2" x14ac:dyDescent="0.25">
      <c r="A402">
        <v>9.6750000000000007</v>
      </c>
      <c r="B402">
        <v>-0.76841815256761115</v>
      </c>
    </row>
    <row r="403" spans="1:2" x14ac:dyDescent="0.25">
      <c r="A403">
        <v>9.6999999999999993</v>
      </c>
      <c r="B403">
        <v>-0.69945713705929036</v>
      </c>
    </row>
    <row r="404" spans="1:2" x14ac:dyDescent="0.25">
      <c r="A404">
        <v>9.7249999999999996</v>
      </c>
      <c r="B404">
        <v>-0.56545994066767402</v>
      </c>
    </row>
    <row r="405" spans="1:2" x14ac:dyDescent="0.25">
      <c r="A405">
        <v>9.75</v>
      </c>
      <c r="B405">
        <v>-0.37836154815329837</v>
      </c>
    </row>
    <row r="406" spans="1:2" x14ac:dyDescent="0.25">
      <c r="A406">
        <v>9.7750000000000004</v>
      </c>
      <c r="B406">
        <v>-0.1550891696339961</v>
      </c>
    </row>
    <row r="407" spans="1:2" x14ac:dyDescent="0.25">
      <c r="A407">
        <v>9.8000000000000007</v>
      </c>
      <c r="B407">
        <v>8.396788832984553E-2</v>
      </c>
    </row>
    <row r="408" spans="1:2" x14ac:dyDescent="0.25">
      <c r="A408">
        <v>9.8249999999999993</v>
      </c>
      <c r="B408">
        <v>0.31682003596793051</v>
      </c>
    </row>
    <row r="409" spans="1:2" x14ac:dyDescent="0.25">
      <c r="A409">
        <v>9.85</v>
      </c>
      <c r="B409">
        <v>0.52190090388916166</v>
      </c>
    </row>
    <row r="410" spans="1:2" x14ac:dyDescent="0.25">
      <c r="A410">
        <v>9.875</v>
      </c>
      <c r="B410">
        <v>0.68006625461584791</v>
      </c>
    </row>
    <row r="411" spans="1:2" x14ac:dyDescent="0.25">
      <c r="A411">
        <v>9.9</v>
      </c>
      <c r="B411">
        <v>0.77638288778747389</v>
      </c>
    </row>
    <row r="412" spans="1:2" x14ac:dyDescent="0.25">
      <c r="A412">
        <v>9.9250000000000007</v>
      </c>
      <c r="B412">
        <v>0.80154020520428781</v>
      </c>
    </row>
    <row r="413" spans="1:2" x14ac:dyDescent="0.25">
      <c r="A413">
        <v>9.9499999999999993</v>
      </c>
      <c r="B413">
        <v>0.7527508511908334</v>
      </c>
    </row>
    <row r="414" spans="1:2" x14ac:dyDescent="0.25">
      <c r="A414">
        <v>9.9749999999999996</v>
      </c>
      <c r="B414">
        <v>0.63405324970288446</v>
      </c>
    </row>
    <row r="415" spans="1:2" x14ac:dyDescent="0.25">
      <c r="A415">
        <v>10</v>
      </c>
      <c r="B415">
        <v>0.45598370938308241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415"/>
  <sheetViews>
    <sheetView topLeftCell="D173" workbookViewId="0">
      <selection activeCell="P209" sqref="P209"/>
    </sheetView>
  </sheetViews>
  <sheetFormatPr defaultRowHeight="15" x14ac:dyDescent="0.25"/>
  <cols>
    <col min="3" max="3" width="10.42578125" bestFit="1" customWidth="1"/>
    <col min="6" max="6" width="12" bestFit="1" customWidth="1"/>
    <col min="8" max="8" width="11" bestFit="1" customWidth="1"/>
    <col min="9" max="9" width="11" customWidth="1"/>
    <col min="12" max="12" width="15.5703125" bestFit="1" customWidth="1"/>
    <col min="13" max="13" width="14.85546875" bestFit="1" customWidth="1"/>
    <col min="14" max="14" width="21.42578125" bestFit="1" customWidth="1"/>
    <col min="15" max="15" width="12.5703125" customWidth="1"/>
    <col min="18" max="18" width="23.85546875" bestFit="1" customWidth="1"/>
    <col min="19" max="19" width="13.42578125" bestFit="1" customWidth="1"/>
    <col min="20" max="20" width="29.7109375" bestFit="1" customWidth="1"/>
    <col min="23" max="23" width="10.42578125" bestFit="1" customWidth="1"/>
  </cols>
  <sheetData>
    <row r="1" spans="1:23" x14ac:dyDescent="0.25">
      <c r="A1" t="s">
        <v>0</v>
      </c>
      <c r="D1" t="s">
        <v>14</v>
      </c>
      <c r="J1" t="s">
        <v>10</v>
      </c>
    </row>
    <row r="2" spans="1:23" x14ac:dyDescent="0.25">
      <c r="A2" t="s">
        <v>2</v>
      </c>
      <c r="B2">
        <v>3</v>
      </c>
      <c r="D2" t="s">
        <v>15</v>
      </c>
      <c r="E2">
        <v>0.8</v>
      </c>
      <c r="J2" t="s">
        <v>11</v>
      </c>
      <c r="K2">
        <v>43560</v>
      </c>
    </row>
    <row r="3" spans="1:23" x14ac:dyDescent="0.25">
      <c r="A3" t="s">
        <v>1</v>
      </c>
      <c r="B3">
        <f>'del t = 0.05'!B3</f>
        <v>40</v>
      </c>
      <c r="C3" t="s">
        <v>3</v>
      </c>
      <c r="J3" t="s">
        <v>23</v>
      </c>
      <c r="K3">
        <v>86400</v>
      </c>
    </row>
    <row r="4" spans="1:23" x14ac:dyDescent="0.25">
      <c r="A4" t="s">
        <v>4</v>
      </c>
      <c r="B4">
        <f>'del t = 0.05'!B4</f>
        <v>0</v>
      </c>
      <c r="C4" t="s">
        <v>5</v>
      </c>
      <c r="E4" t="s">
        <v>16</v>
      </c>
      <c r="F4" t="s">
        <v>17</v>
      </c>
      <c r="G4">
        <v>0.05</v>
      </c>
    </row>
    <row r="5" spans="1:23" x14ac:dyDescent="0.25">
      <c r="A5" s="9" t="s">
        <v>40</v>
      </c>
      <c r="B5" s="9"/>
      <c r="C5" s="9" t="s">
        <v>41</v>
      </c>
    </row>
    <row r="7" spans="1:23" x14ac:dyDescent="0.25">
      <c r="A7" t="s">
        <v>6</v>
      </c>
    </row>
    <row r="8" spans="1:23" x14ac:dyDescent="0.25">
      <c r="A8" t="s">
        <v>7</v>
      </c>
      <c r="B8" t="s">
        <v>8</v>
      </c>
      <c r="C8" t="s">
        <v>9</v>
      </c>
      <c r="E8" t="s">
        <v>18</v>
      </c>
      <c r="F8">
        <v>0</v>
      </c>
      <c r="H8" t="s">
        <v>19</v>
      </c>
      <c r="J8">
        <v>0.01</v>
      </c>
    </row>
    <row r="9" spans="1:23" x14ac:dyDescent="0.25">
      <c r="A9">
        <v>2.5</v>
      </c>
      <c r="B9">
        <v>10</v>
      </c>
      <c r="C9">
        <f>B9*$K$2</f>
        <v>435600</v>
      </c>
      <c r="E9" t="s">
        <v>15</v>
      </c>
      <c r="F9">
        <v>0.8</v>
      </c>
    </row>
    <row r="10" spans="1:23" x14ac:dyDescent="0.25">
      <c r="A10">
        <v>-7</v>
      </c>
      <c r="B10">
        <v>3</v>
      </c>
      <c r="C10">
        <f>B10*$K$2</f>
        <v>130680</v>
      </c>
      <c r="G10" s="1"/>
      <c r="H10" s="1" t="s">
        <v>27</v>
      </c>
      <c r="I10" s="6" t="s">
        <v>33</v>
      </c>
      <c r="J10" s="2"/>
      <c r="K10" s="1"/>
      <c r="L10" s="1"/>
      <c r="M10" s="1" t="s">
        <v>26</v>
      </c>
      <c r="N10" s="1"/>
      <c r="O10" s="6" t="s">
        <v>33</v>
      </c>
      <c r="P10" s="2"/>
      <c r="Q10" s="7"/>
      <c r="R10" s="1"/>
      <c r="S10" s="1" t="s">
        <v>38</v>
      </c>
      <c r="T10" s="1"/>
      <c r="U10" s="6" t="s">
        <v>33</v>
      </c>
      <c r="V10" s="2"/>
      <c r="W10" s="7" t="s">
        <v>39</v>
      </c>
    </row>
    <row r="11" spans="1:23" x14ac:dyDescent="0.25">
      <c r="A11">
        <v>-15</v>
      </c>
      <c r="B11">
        <v>1</v>
      </c>
      <c r="C11">
        <f>B11*$K$2</f>
        <v>43560</v>
      </c>
      <c r="D11" t="s">
        <v>21</v>
      </c>
      <c r="E11" t="s">
        <v>20</v>
      </c>
      <c r="F11" t="s">
        <v>22</v>
      </c>
      <c r="G11" s="3" t="s">
        <v>28</v>
      </c>
      <c r="H11" s="3" t="s">
        <v>29</v>
      </c>
      <c r="I11" s="5" t="s">
        <v>32</v>
      </c>
      <c r="J11" s="4" t="s">
        <v>27</v>
      </c>
      <c r="K11" t="s">
        <v>24</v>
      </c>
      <c r="L11" t="s">
        <v>25</v>
      </c>
      <c r="M11" t="s">
        <v>30</v>
      </c>
      <c r="N11" t="s">
        <v>31</v>
      </c>
      <c r="O11" s="5" t="s">
        <v>32</v>
      </c>
      <c r="P11" s="4" t="s">
        <v>26</v>
      </c>
      <c r="Q11" s="5" t="s">
        <v>34</v>
      </c>
      <c r="R11" s="5" t="s">
        <v>35</v>
      </c>
      <c r="S11" s="5" t="s">
        <v>36</v>
      </c>
      <c r="T11" s="5" t="s">
        <v>37</v>
      </c>
      <c r="U11" s="5" t="s">
        <v>32</v>
      </c>
      <c r="V11" s="8" t="s">
        <v>38</v>
      </c>
    </row>
    <row r="12" spans="1:23" x14ac:dyDescent="0.25">
      <c r="D12">
        <v>0</v>
      </c>
      <c r="E12">
        <v>0</v>
      </c>
      <c r="F12">
        <f>E2</f>
        <v>0.8</v>
      </c>
      <c r="G12" s="3">
        <f>LinInt(E12,$A$15:$A$415,$B$15:$B$415,TRUE)</f>
        <v>0.79793917876280029</v>
      </c>
      <c r="H12" s="3">
        <f>LinInt(F12,$A$9:$A$11,$C$9:$C$11,TRUE)</f>
        <v>215622</v>
      </c>
      <c r="I12" s="3">
        <f>G12-F12</f>
        <v>-2.0608212371997503E-3</v>
      </c>
      <c r="J12" s="4">
        <f>(($B$2*$B$3*((ABS(I12))^1.5)*IF(I12&lt;=0,-1,1)+$B$4)*$K$3)/H12</f>
        <v>-4.498444848143694E-3</v>
      </c>
      <c r="K12">
        <f>E12+$J$8/2</f>
        <v>5.0000000000000001E-3</v>
      </c>
      <c r="L12">
        <f>F12+J12*K12</f>
        <v>0.79997750777575938</v>
      </c>
      <c r="M12">
        <f>LinInt(K12,$A$15:$A$415,$B$15:$B$415,TRUE)</f>
        <v>0.82385459244477999</v>
      </c>
      <c r="N12" s="3">
        <f>LinInt(L12,$A$9:$A$11,$C$9:$C$11,TRUE)</f>
        <v>215621.75505967802</v>
      </c>
      <c r="O12" s="3">
        <f>M12-L12</f>
        <v>2.387708466902061E-2</v>
      </c>
      <c r="P12" s="4">
        <f>(($B$2*$B$3*((ABS(O12))^1.5)*IF(O12&lt;=0,-1,1)+$B$4)*$K$3)/N12</f>
        <v>0.17740847430841075</v>
      </c>
      <c r="Q12">
        <f>E12+$J$8</f>
        <v>0.01</v>
      </c>
      <c r="R12">
        <f>F12-J12*$J$8+2*P12*$J$8</f>
        <v>0.8035931539346497</v>
      </c>
      <c r="S12">
        <f>LinInt(Q12,$A$15:$A$415,$B$15:$B$415,TRUE)</f>
        <v>0.84977000612675957</v>
      </c>
      <c r="T12" s="3">
        <f>LinInt(R12,$A$9:$A$11,$C$9:$C$11,TRUE)</f>
        <v>215661.12944634832</v>
      </c>
      <c r="U12" s="3">
        <f>S12-R12</f>
        <v>4.6176852192109874E-2</v>
      </c>
      <c r="V12" s="4">
        <f>(($B$2*$B$3*((ABS(U12))^1.5)*IF(U12&lt;=0,-1,1)+$B$4)*$K$3)/T12</f>
        <v>0.47704527622107595</v>
      </c>
      <c r="W12">
        <f>F12+(1/6)*(J12+4*M12+S12)*$J$8</f>
        <v>0.80690114988509631</v>
      </c>
    </row>
    <row r="13" spans="1:23" x14ac:dyDescent="0.25">
      <c r="A13" t="s">
        <v>12</v>
      </c>
      <c r="D13">
        <v>1</v>
      </c>
      <c r="E13">
        <f>E12+$J$8</f>
        <v>0.01</v>
      </c>
      <c r="F13">
        <f>W12</f>
        <v>0.80690114988509631</v>
      </c>
      <c r="G13" s="3">
        <f t="shared" ref="G13:G52" si="0">LinInt(E13,$A$15:$A$415,$B$15:$B$415,TRUE)</f>
        <v>0.84977000612675957</v>
      </c>
      <c r="H13" s="3">
        <f>LinInt(F13,$A$9:$A$11,$C$9:$C$11,TRUE)</f>
        <v>215697.1535222487</v>
      </c>
      <c r="I13" s="3">
        <f>G13-F13</f>
        <v>4.2868856241663256E-2</v>
      </c>
      <c r="J13" s="4">
        <f>(($B$2*$B$3*((ABS(I13))^1.5)*IF(I13&lt;=0,-1,1)+$B$4)*$K$3)/H13</f>
        <v>0.42664181613005436</v>
      </c>
      <c r="K13">
        <f>E13+$J$8/2</f>
        <v>1.4999999999999999E-2</v>
      </c>
      <c r="L13">
        <f>F13+J13*K13</f>
        <v>0.81330077712704718</v>
      </c>
      <c r="M13">
        <f t="shared" ref="M13:M52" si="1">LinInt(K13,$A$15:$A$415,$B$15:$B$415,TRUE)</f>
        <v>0.87568541980873926</v>
      </c>
      <c r="N13" s="3">
        <f>LinInt(L13,$A$9:$A$11,$C$9:$C$11,TRUE)</f>
        <v>215766.84546291354</v>
      </c>
      <c r="O13" s="3">
        <f>M13-L13</f>
        <v>6.2384642681692082E-2</v>
      </c>
      <c r="P13" s="4">
        <f>(($B$2*$B$3*((ABS(O13))^1.5)*IF(O13&lt;=0,-1,1)+$B$4)*$K$3)/N13</f>
        <v>0.74873272313374573</v>
      </c>
      <c r="Q13">
        <f>E13+$J$8</f>
        <v>0.02</v>
      </c>
      <c r="R13">
        <f>F13-J13*$J$8+2*P13*$J$8</f>
        <v>0.81760938618647061</v>
      </c>
      <c r="S13">
        <f t="shared" ref="S13:S52" si="2">LinInt(Q13,$A$15:$A$415,$B$15:$B$415,TRUE)</f>
        <v>0.90160083349071884</v>
      </c>
      <c r="T13" s="3">
        <f>LinInt(R13,$A$9:$A$11,$C$9:$C$11,TRUE)</f>
        <v>215813.76621557068</v>
      </c>
      <c r="U13" s="3">
        <f>S13-R13</f>
        <v>8.3991447304248235E-2</v>
      </c>
      <c r="V13" s="4">
        <f>(($B$2*$B$3*((ABS(U13))^1.5)*IF(U13&lt;=0,-1,1)+$B$4)*$K$3)/T13</f>
        <v>1.169414412714237</v>
      </c>
      <c r="W13">
        <f>F13+(1/6)*(J13+4*M13+S13)*$J$8</f>
        <v>0.81495279043318924</v>
      </c>
    </row>
    <row r="14" spans="1:23" x14ac:dyDescent="0.25">
      <c r="A14" t="s">
        <v>13</v>
      </c>
      <c r="B14" t="s">
        <v>7</v>
      </c>
      <c r="D14">
        <v>2</v>
      </c>
      <c r="E14">
        <f t="shared" ref="E14:E52" si="3">E13+$J$8</f>
        <v>0.02</v>
      </c>
      <c r="F14">
        <f t="shared" ref="F14:F52" si="4">W13</f>
        <v>0.81495279043318924</v>
      </c>
      <c r="G14" s="3">
        <f t="shared" si="0"/>
        <v>0.90160083349071884</v>
      </c>
      <c r="H14" s="3">
        <f t="shared" ref="H14:H52" si="5">LinInt(F14,$A$9:$A$11,$C$9:$C$11,TRUE)</f>
        <v>215784.83588781743</v>
      </c>
      <c r="I14" s="3">
        <f t="shared" ref="I14:I52" si="6">G14-F14</f>
        <v>8.66480430575296E-2</v>
      </c>
      <c r="J14" s="4">
        <f t="shared" ref="J14:J52" si="7">(($B$2*$B$3*((ABS(I14))^1.5)*IF(I14&lt;=0,-1,1)+$B$4)*$K$3)/H14</f>
        <v>1.2254968654838314</v>
      </c>
      <c r="K14">
        <f t="shared" ref="K14:K52" si="8">E14+$J$8/2</f>
        <v>2.5000000000000001E-2</v>
      </c>
      <c r="L14">
        <f t="shared" ref="L14:L52" si="9">F14+J14*K14</f>
        <v>0.84559021207028506</v>
      </c>
      <c r="M14">
        <f t="shared" si="1"/>
        <v>0.92751624717269854</v>
      </c>
      <c r="N14" s="3">
        <f t="shared" ref="N14:N52" si="10">LinInt(L14,$A$9:$A$11,$C$9:$C$11,TRUE)</f>
        <v>216118.47740944542</v>
      </c>
      <c r="O14" s="3">
        <f t="shared" ref="O14:O52" si="11">M14-L14</f>
        <v>8.1926035102413475E-2</v>
      </c>
      <c r="P14" s="4">
        <f t="shared" ref="P14:P52" si="12">(($B$2*$B$3*((ABS(O14))^1.5)*IF(O14&lt;=0,-1,1)+$B$4)*$K$3)/N14</f>
        <v>1.1249571883995202</v>
      </c>
      <c r="Q14">
        <f t="shared" ref="Q14:Q52" si="13">E14+$J$8</f>
        <v>0.03</v>
      </c>
      <c r="R14">
        <f t="shared" ref="R14:R52" si="14">F14-J14*$J$8+2*P14*$J$8</f>
        <v>0.82519696554634137</v>
      </c>
      <c r="S14">
        <f t="shared" si="2"/>
        <v>0.93615179801296244</v>
      </c>
      <c r="T14" s="3">
        <f t="shared" ref="T14:T52" si="15">LinInt(R14,$A$9:$A$11,$C$9:$C$11,TRUE)</f>
        <v>215896.39495479965</v>
      </c>
      <c r="U14" s="3">
        <f t="shared" ref="U14:U52" si="16">S14-R14</f>
        <v>0.11095483246662108</v>
      </c>
      <c r="V14" s="4">
        <f t="shared" ref="V14:V52" si="17">(($B$2*$B$3*((ABS(U14))^1.5)*IF(U14&lt;=0,-1,1)+$B$4)*$K$3)/T14</f>
        <v>1.7748797358290613</v>
      </c>
      <c r="W14">
        <f t="shared" ref="W14:W52" si="18">F14+(1/6)*(J14+4*M14+S14)*$J$8</f>
        <v>0.82473897985350186</v>
      </c>
    </row>
    <row r="15" spans="1:23" x14ac:dyDescent="0.25">
      <c r="A15">
        <v>0</v>
      </c>
      <c r="B15">
        <v>0.79793917876280029</v>
      </c>
      <c r="D15">
        <v>3</v>
      </c>
      <c r="E15">
        <f t="shared" si="3"/>
        <v>0.03</v>
      </c>
      <c r="F15">
        <f t="shared" si="4"/>
        <v>0.82473897985350186</v>
      </c>
      <c r="G15" s="3">
        <f t="shared" si="0"/>
        <v>0.93615179801296244</v>
      </c>
      <c r="H15" s="3">
        <f t="shared" si="5"/>
        <v>215891.40749060464</v>
      </c>
      <c r="I15" s="3">
        <f t="shared" si="6"/>
        <v>0.11141281815946058</v>
      </c>
      <c r="J15" s="4">
        <f t="shared" si="7"/>
        <v>1.7859215199011844</v>
      </c>
      <c r="K15">
        <f t="shared" si="8"/>
        <v>3.4999999999999996E-2</v>
      </c>
      <c r="L15">
        <f t="shared" si="9"/>
        <v>0.88724623305004335</v>
      </c>
      <c r="M15">
        <f t="shared" si="1"/>
        <v>0.94478734885322646</v>
      </c>
      <c r="N15" s="3">
        <f t="shared" si="10"/>
        <v>216572.11147791496</v>
      </c>
      <c r="O15" s="3">
        <f t="shared" si="11"/>
        <v>5.7541115803183107E-2</v>
      </c>
      <c r="P15" s="4">
        <f t="shared" si="12"/>
        <v>0.66078454477404147</v>
      </c>
      <c r="Q15">
        <f t="shared" si="13"/>
        <v>0.04</v>
      </c>
      <c r="R15">
        <f t="shared" si="14"/>
        <v>0.82009545554997088</v>
      </c>
      <c r="S15">
        <f t="shared" si="2"/>
        <v>0.95342289969349037</v>
      </c>
      <c r="T15" s="3">
        <f t="shared" si="15"/>
        <v>215840.83951093917</v>
      </c>
      <c r="U15" s="3">
        <f t="shared" si="16"/>
        <v>0.13332744414351949</v>
      </c>
      <c r="V15" s="4">
        <f t="shared" si="17"/>
        <v>2.3385178961144315</v>
      </c>
      <c r="W15">
        <f t="shared" si="18"/>
        <v>0.83560313621184779</v>
      </c>
    </row>
    <row r="16" spans="1:23" x14ac:dyDescent="0.25">
      <c r="A16">
        <v>2.5000000000000001E-2</v>
      </c>
      <c r="B16">
        <v>0.92751624717269854</v>
      </c>
      <c r="D16">
        <v>4</v>
      </c>
      <c r="E16">
        <f t="shared" si="3"/>
        <v>0.04</v>
      </c>
      <c r="F16">
        <f t="shared" si="4"/>
        <v>0.83560313621184779</v>
      </c>
      <c r="G16" s="3">
        <f t="shared" si="0"/>
        <v>0.95342289969349037</v>
      </c>
      <c r="H16" s="3">
        <f t="shared" si="5"/>
        <v>216009.71815334703</v>
      </c>
      <c r="I16" s="3">
        <f t="shared" si="6"/>
        <v>0.11781976348164258</v>
      </c>
      <c r="J16" s="4">
        <f t="shared" si="7"/>
        <v>1.9411045077360694</v>
      </c>
      <c r="K16">
        <f t="shared" si="8"/>
        <v>4.4999999999999998E-2</v>
      </c>
      <c r="L16">
        <f t="shared" si="9"/>
        <v>0.92295283905997094</v>
      </c>
      <c r="M16">
        <f t="shared" si="1"/>
        <v>0.96205845053375438</v>
      </c>
      <c r="N16" s="3">
        <f t="shared" si="10"/>
        <v>216960.95641736308</v>
      </c>
      <c r="O16" s="3">
        <f t="shared" si="11"/>
        <v>3.9105611473783441E-2</v>
      </c>
      <c r="P16" s="4">
        <f t="shared" si="12"/>
        <v>0.36954899328547675</v>
      </c>
      <c r="Q16">
        <f t="shared" si="13"/>
        <v>0.05</v>
      </c>
      <c r="R16">
        <f t="shared" si="14"/>
        <v>0.82358307100019668</v>
      </c>
      <c r="S16">
        <f t="shared" si="2"/>
        <v>0.97069400137401829</v>
      </c>
      <c r="T16" s="3">
        <f t="shared" si="15"/>
        <v>215878.81964319214</v>
      </c>
      <c r="U16" s="3">
        <f t="shared" si="16"/>
        <v>0.14711093037382161</v>
      </c>
      <c r="V16" s="4">
        <f t="shared" si="17"/>
        <v>2.7098943961192488</v>
      </c>
      <c r="W16">
        <f t="shared" si="18"/>
        <v>0.84686985673058968</v>
      </c>
    </row>
    <row r="17" spans="1:23" x14ac:dyDescent="0.25">
      <c r="A17">
        <v>0.05</v>
      </c>
      <c r="B17">
        <v>0.97069400137401829</v>
      </c>
      <c r="D17">
        <v>5</v>
      </c>
      <c r="E17">
        <f t="shared" si="3"/>
        <v>0.05</v>
      </c>
      <c r="F17">
        <f t="shared" si="4"/>
        <v>0.84686985673058968</v>
      </c>
      <c r="G17" s="3">
        <f t="shared" si="0"/>
        <v>0.97069400137401829</v>
      </c>
      <c r="H17" s="3">
        <f t="shared" si="5"/>
        <v>216132.41273979613</v>
      </c>
      <c r="I17" s="3">
        <f t="shared" si="6"/>
        <v>0.12382414464342861</v>
      </c>
      <c r="J17" s="4">
        <f t="shared" si="7"/>
        <v>2.0901771315210156</v>
      </c>
      <c r="K17">
        <f t="shared" si="8"/>
        <v>5.5E-2</v>
      </c>
      <c r="L17">
        <f t="shared" si="9"/>
        <v>0.96182959896424558</v>
      </c>
      <c r="M17">
        <f t="shared" si="1"/>
        <v>0.96128727342371711</v>
      </c>
      <c r="N17" s="3">
        <f t="shared" si="10"/>
        <v>217384.32433272063</v>
      </c>
      <c r="O17" s="3">
        <f t="shared" si="11"/>
        <v>-5.4232554052846549E-4</v>
      </c>
      <c r="P17" s="4">
        <f t="shared" si="12"/>
        <v>-6.0236100811845192E-4</v>
      </c>
      <c r="Q17">
        <f t="shared" si="13"/>
        <v>6.0000000000000005E-2</v>
      </c>
      <c r="R17">
        <f t="shared" si="14"/>
        <v>0.82595603819521712</v>
      </c>
      <c r="S17">
        <f t="shared" si="2"/>
        <v>0.95188054547341594</v>
      </c>
      <c r="T17" s="3">
        <f t="shared" si="15"/>
        <v>215904.66125594592</v>
      </c>
      <c r="U17" s="3">
        <f t="shared" si="16"/>
        <v>0.12592450727819882</v>
      </c>
      <c r="V17" s="4">
        <f t="shared" si="17"/>
        <v>2.145845057838665</v>
      </c>
      <c r="W17">
        <f t="shared" si="18"/>
        <v>0.85834853468173855</v>
      </c>
    </row>
    <row r="18" spans="1:23" x14ac:dyDescent="0.25">
      <c r="A18">
        <v>7.4999999999999997E-2</v>
      </c>
      <c r="B18">
        <v>0.92366036162251253</v>
      </c>
      <c r="D18">
        <v>6</v>
      </c>
      <c r="E18">
        <f t="shared" si="3"/>
        <v>6.0000000000000005E-2</v>
      </c>
      <c r="F18">
        <f t="shared" si="4"/>
        <v>0.85834853468173855</v>
      </c>
      <c r="G18" s="3">
        <f t="shared" si="0"/>
        <v>0.95188054547341594</v>
      </c>
      <c r="H18" s="3">
        <f t="shared" si="5"/>
        <v>216257.41554268415</v>
      </c>
      <c r="I18" s="3">
        <f t="shared" si="6"/>
        <v>9.3532010791677389E-2</v>
      </c>
      <c r="J18" s="4">
        <f t="shared" si="7"/>
        <v>1.3714007627259961</v>
      </c>
      <c r="K18">
        <f t="shared" si="8"/>
        <v>6.5000000000000002E-2</v>
      </c>
      <c r="L18">
        <f t="shared" si="9"/>
        <v>0.94748958425892826</v>
      </c>
      <c r="M18">
        <f t="shared" si="1"/>
        <v>0.94247381752311488</v>
      </c>
      <c r="N18" s="3">
        <f t="shared" si="10"/>
        <v>217228.16157257973</v>
      </c>
      <c r="O18" s="3">
        <f t="shared" si="11"/>
        <v>-5.0157667358133873E-3</v>
      </c>
      <c r="P18" s="4">
        <f t="shared" si="12"/>
        <v>-1.6954494983743334E-2</v>
      </c>
      <c r="Q18">
        <f t="shared" si="13"/>
        <v>7.0000000000000007E-2</v>
      </c>
      <c r="R18">
        <f t="shared" si="14"/>
        <v>0.84429543715480371</v>
      </c>
      <c r="S18">
        <f t="shared" si="2"/>
        <v>0.9330670895728137</v>
      </c>
      <c r="T18" s="3">
        <f t="shared" si="15"/>
        <v>216104.37731061582</v>
      </c>
      <c r="U18" s="3">
        <f t="shared" si="16"/>
        <v>8.8771652418009994E-2</v>
      </c>
      <c r="V18" s="4">
        <f t="shared" si="17"/>
        <v>1.2689452392500544</v>
      </c>
      <c r="W18">
        <f t="shared" si="18"/>
        <v>0.86847247321905729</v>
      </c>
    </row>
    <row r="19" spans="1:23" x14ac:dyDescent="0.25">
      <c r="A19">
        <v>0.1</v>
      </c>
      <c r="B19">
        <v>0.79099432536394998</v>
      </c>
      <c r="D19">
        <v>7</v>
      </c>
      <c r="E19">
        <f t="shared" si="3"/>
        <v>7.0000000000000007E-2</v>
      </c>
      <c r="F19">
        <f t="shared" si="4"/>
        <v>0.86847247321905729</v>
      </c>
      <c r="G19" s="3">
        <f t="shared" si="0"/>
        <v>0.9330670895728137</v>
      </c>
      <c r="H19" s="3">
        <f t="shared" si="5"/>
        <v>216367.66523335554</v>
      </c>
      <c r="I19" s="3">
        <f t="shared" si="6"/>
        <v>6.4594616353756407E-2</v>
      </c>
      <c r="J19" s="4">
        <f t="shared" si="7"/>
        <v>0.78667819844838238</v>
      </c>
      <c r="K19">
        <f t="shared" si="8"/>
        <v>7.5000000000000011E-2</v>
      </c>
      <c r="L19">
        <f t="shared" si="9"/>
        <v>0.92747333810268595</v>
      </c>
      <c r="M19">
        <f t="shared" si="1"/>
        <v>0.92366036162251242</v>
      </c>
      <c r="N19" s="3">
        <f t="shared" si="10"/>
        <v>217010.18465193824</v>
      </c>
      <c r="O19" s="3">
        <f t="shared" si="11"/>
        <v>-3.8129764801735355E-3</v>
      </c>
      <c r="P19" s="4">
        <f t="shared" si="12"/>
        <v>-1.1248926046697517E-2</v>
      </c>
      <c r="Q19">
        <f t="shared" si="13"/>
        <v>0.08</v>
      </c>
      <c r="R19">
        <f t="shared" si="14"/>
        <v>0.86038071271363947</v>
      </c>
      <c r="S19">
        <f t="shared" si="2"/>
        <v>0.89712715437080004</v>
      </c>
      <c r="T19" s="3">
        <f t="shared" si="15"/>
        <v>216279.54596145154</v>
      </c>
      <c r="U19" s="3">
        <f t="shared" si="16"/>
        <v>3.6746441657160567E-2</v>
      </c>
      <c r="V19" s="4">
        <f t="shared" si="17"/>
        <v>0.33767777314190317</v>
      </c>
      <c r="W19">
        <f t="shared" si="18"/>
        <v>0.87743655121790598</v>
      </c>
    </row>
    <row r="20" spans="1:23" x14ac:dyDescent="0.25">
      <c r="A20">
        <v>0.125</v>
      </c>
      <c r="B20">
        <v>0.58522002697754971</v>
      </c>
      <c r="D20">
        <v>8</v>
      </c>
      <c r="E20">
        <f t="shared" si="3"/>
        <v>0.08</v>
      </c>
      <c r="F20">
        <f t="shared" si="4"/>
        <v>0.87743655121790598</v>
      </c>
      <c r="G20" s="3">
        <f t="shared" si="0"/>
        <v>0.89712715437080004</v>
      </c>
      <c r="H20" s="3">
        <f t="shared" si="5"/>
        <v>216465.284042763</v>
      </c>
      <c r="I20" s="3">
        <f t="shared" si="6"/>
        <v>1.9690603152894059E-2</v>
      </c>
      <c r="J20" s="4">
        <f t="shared" si="7"/>
        <v>0.13234125905144373</v>
      </c>
      <c r="K20">
        <f t="shared" si="8"/>
        <v>8.5000000000000006E-2</v>
      </c>
      <c r="L20">
        <f t="shared" si="9"/>
        <v>0.88868555823727868</v>
      </c>
      <c r="M20">
        <f t="shared" si="1"/>
        <v>0.87059394711908744</v>
      </c>
      <c r="N20" s="3">
        <f t="shared" si="10"/>
        <v>216587.78572920396</v>
      </c>
      <c r="O20" s="3">
        <f t="shared" si="11"/>
        <v>-1.8091611118191242E-2</v>
      </c>
      <c r="P20" s="4">
        <f t="shared" si="12"/>
        <v>-0.11648684778516447</v>
      </c>
      <c r="Q20">
        <f t="shared" si="13"/>
        <v>0.09</v>
      </c>
      <c r="R20">
        <f t="shared" si="14"/>
        <v>0.87378340167168833</v>
      </c>
      <c r="S20">
        <f t="shared" si="2"/>
        <v>0.84406073986737506</v>
      </c>
      <c r="T20" s="3">
        <f t="shared" si="15"/>
        <v>216425.50124420467</v>
      </c>
      <c r="U20" s="3">
        <f t="shared" si="16"/>
        <v>-2.9722661804313266E-2</v>
      </c>
      <c r="V20" s="4">
        <f t="shared" si="17"/>
        <v>-0.24548112585127432</v>
      </c>
      <c r="W20">
        <f t="shared" si="18"/>
        <v>0.88486784753023129</v>
      </c>
    </row>
    <row r="21" spans="1:23" x14ac:dyDescent="0.25">
      <c r="A21">
        <v>0.15</v>
      </c>
      <c r="B21">
        <v>0.32562303683808408</v>
      </c>
      <c r="D21">
        <v>9</v>
      </c>
      <c r="E21">
        <f t="shared" si="3"/>
        <v>0.09</v>
      </c>
      <c r="F21">
        <f t="shared" si="4"/>
        <v>0.88486784753023129</v>
      </c>
      <c r="G21" s="3">
        <f t="shared" si="0"/>
        <v>0.84406073986737506</v>
      </c>
      <c r="H21" s="3">
        <f t="shared" si="5"/>
        <v>216546.21085960421</v>
      </c>
      <c r="I21" s="3">
        <f t="shared" si="6"/>
        <v>-4.0807107662856223E-2</v>
      </c>
      <c r="J21" s="4">
        <f t="shared" si="7"/>
        <v>-0.39468272719205977</v>
      </c>
      <c r="K21">
        <f t="shared" si="8"/>
        <v>9.5000000000000001E-2</v>
      </c>
      <c r="L21">
        <f t="shared" si="9"/>
        <v>0.84737298844698561</v>
      </c>
      <c r="M21">
        <f t="shared" si="1"/>
        <v>0.81752753261566247</v>
      </c>
      <c r="N21" s="3">
        <f t="shared" si="10"/>
        <v>216137.89184418766</v>
      </c>
      <c r="O21" s="3">
        <f t="shared" si="11"/>
        <v>-2.9845455831323142E-2</v>
      </c>
      <c r="P21" s="4">
        <f t="shared" si="12"/>
        <v>-0.24733262215782176</v>
      </c>
      <c r="Q21">
        <f t="shared" si="13"/>
        <v>9.9999999999999992E-2</v>
      </c>
      <c r="R21">
        <f t="shared" si="14"/>
        <v>0.88386802235899553</v>
      </c>
      <c r="S21">
        <f t="shared" si="2"/>
        <v>0.79099432536395009</v>
      </c>
      <c r="T21" s="3">
        <f t="shared" si="15"/>
        <v>216535.32276348947</v>
      </c>
      <c r="U21" s="3">
        <f t="shared" si="16"/>
        <v>-9.2873696995045441E-2</v>
      </c>
      <c r="V21" s="4">
        <f t="shared" si="17"/>
        <v>-1.3552060677067601</v>
      </c>
      <c r="W21">
        <f t="shared" si="18"/>
        <v>0.89097855041128882</v>
      </c>
    </row>
    <row r="22" spans="1:23" x14ac:dyDescent="0.25">
      <c r="A22">
        <v>0.17499999999999999</v>
      </c>
      <c r="B22">
        <v>3.6440906260622019E-2</v>
      </c>
      <c r="D22">
        <v>10</v>
      </c>
      <c r="E22">
        <f t="shared" si="3"/>
        <v>9.9999999999999992E-2</v>
      </c>
      <c r="F22">
        <f t="shared" si="4"/>
        <v>0.89097855041128882</v>
      </c>
      <c r="G22" s="3">
        <f t="shared" si="0"/>
        <v>0.79099432536395009</v>
      </c>
      <c r="H22" s="3">
        <f t="shared" si="5"/>
        <v>216612.75641397893</v>
      </c>
      <c r="I22" s="3">
        <f t="shared" si="6"/>
        <v>-9.9984225047338726E-2</v>
      </c>
      <c r="J22" s="4">
        <f t="shared" si="7"/>
        <v>-1.5132413043533224</v>
      </c>
      <c r="K22">
        <f t="shared" si="8"/>
        <v>0.105</v>
      </c>
      <c r="L22">
        <f t="shared" si="9"/>
        <v>0.73208821345418995</v>
      </c>
      <c r="M22">
        <f t="shared" si="1"/>
        <v>0.74983946568667004</v>
      </c>
      <c r="N22" s="3">
        <f t="shared" si="10"/>
        <v>214882.44064451611</v>
      </c>
      <c r="O22" s="3">
        <f t="shared" si="11"/>
        <v>1.7751252232480086E-2</v>
      </c>
      <c r="P22" s="4">
        <f t="shared" si="12"/>
        <v>0.11411363849896898</v>
      </c>
      <c r="Q22">
        <f t="shared" si="13"/>
        <v>0.10999999999999999</v>
      </c>
      <c r="R22">
        <f t="shared" si="14"/>
        <v>0.90839323622480139</v>
      </c>
      <c r="S22">
        <f t="shared" si="2"/>
        <v>0.70868460600938998</v>
      </c>
      <c r="T22" s="3">
        <f t="shared" si="15"/>
        <v>216802.40234248809</v>
      </c>
      <c r="U22" s="3">
        <f t="shared" si="16"/>
        <v>-0.19970863021541141</v>
      </c>
      <c r="V22" s="4">
        <f t="shared" si="17"/>
        <v>-4.2680170692302966</v>
      </c>
      <c r="W22">
        <f t="shared" si="18"/>
        <v>0.89463655235196005</v>
      </c>
    </row>
    <row r="23" spans="1:23" x14ac:dyDescent="0.25">
      <c r="A23">
        <v>0.2</v>
      </c>
      <c r="B23">
        <v>-0.25540208238152112</v>
      </c>
      <c r="D23">
        <v>11</v>
      </c>
      <c r="E23">
        <f t="shared" si="3"/>
        <v>0.10999999999999999</v>
      </c>
      <c r="F23">
        <f t="shared" si="4"/>
        <v>0.89463655235196005</v>
      </c>
      <c r="G23" s="3">
        <f t="shared" si="0"/>
        <v>0.70868460600938998</v>
      </c>
      <c r="H23" s="3">
        <f t="shared" si="5"/>
        <v>216652.59205511285</v>
      </c>
      <c r="I23" s="3">
        <f t="shared" si="6"/>
        <v>-0.18595194634257006</v>
      </c>
      <c r="J23" s="4">
        <f t="shared" si="7"/>
        <v>-3.837356886351321</v>
      </c>
      <c r="K23">
        <f t="shared" si="8"/>
        <v>0.11499999999999999</v>
      </c>
      <c r="L23">
        <f t="shared" si="9"/>
        <v>0.45334051042155815</v>
      </c>
      <c r="M23">
        <f t="shared" si="1"/>
        <v>0.66752974633210993</v>
      </c>
      <c r="N23" s="3">
        <f t="shared" si="10"/>
        <v>211846.87815849076</v>
      </c>
      <c r="O23" s="3">
        <f t="shared" si="11"/>
        <v>0.21418923591055178</v>
      </c>
      <c r="P23" s="4">
        <f t="shared" si="12"/>
        <v>4.8514256761443013</v>
      </c>
      <c r="Q23">
        <f t="shared" si="13"/>
        <v>0.11999999999999998</v>
      </c>
      <c r="R23">
        <f t="shared" si="14"/>
        <v>1.0300386347383592</v>
      </c>
      <c r="S23">
        <f t="shared" si="2"/>
        <v>0.62637488665482988</v>
      </c>
      <c r="T23" s="3">
        <f t="shared" si="15"/>
        <v>218127.12073230074</v>
      </c>
      <c r="U23" s="3">
        <f t="shared" si="16"/>
        <v>-0.40366374808352934</v>
      </c>
      <c r="V23" s="4">
        <f t="shared" si="17"/>
        <v>-12.190315459068817</v>
      </c>
      <c r="W23">
        <f t="shared" si="18"/>
        <v>0.89373511399467997</v>
      </c>
    </row>
    <row r="24" spans="1:23" x14ac:dyDescent="0.25">
      <c r="A24">
        <v>0.22500000000000001</v>
      </c>
      <c r="B24">
        <v>-0.5228040303329049</v>
      </c>
      <c r="D24">
        <v>12</v>
      </c>
      <c r="E24">
        <f t="shared" si="3"/>
        <v>0.11999999999999998</v>
      </c>
      <c r="F24">
        <f t="shared" si="4"/>
        <v>0.89373511399467997</v>
      </c>
      <c r="G24" s="3">
        <f t="shared" si="0"/>
        <v>0.62637488665482988</v>
      </c>
      <c r="H24" s="3">
        <f t="shared" si="5"/>
        <v>216642.77539140207</v>
      </c>
      <c r="I24" s="3">
        <f t="shared" si="6"/>
        <v>-0.2673602273398501</v>
      </c>
      <c r="J24" s="4">
        <f t="shared" si="7"/>
        <v>-6.6160073730108078</v>
      </c>
      <c r="K24">
        <f t="shared" si="8"/>
        <v>0.12499999999999999</v>
      </c>
      <c r="L24">
        <f t="shared" si="9"/>
        <v>6.6734192368329115E-2</v>
      </c>
      <c r="M24">
        <f t="shared" si="1"/>
        <v>0.58522002697754982</v>
      </c>
      <c r="N24" s="3">
        <f t="shared" si="10"/>
        <v>207636.73535489111</v>
      </c>
      <c r="O24" s="3">
        <f t="shared" si="11"/>
        <v>0.51848583460922071</v>
      </c>
      <c r="P24" s="4">
        <f t="shared" si="12"/>
        <v>18.642156095618493</v>
      </c>
      <c r="Q24">
        <f t="shared" si="13"/>
        <v>0.12999999999999998</v>
      </c>
      <c r="R24">
        <f t="shared" si="14"/>
        <v>1.3327383096371579</v>
      </c>
      <c r="S24">
        <f t="shared" si="2"/>
        <v>0.5333006289496568</v>
      </c>
      <c r="T24" s="3">
        <f t="shared" si="15"/>
        <v>221423.52019194866</v>
      </c>
      <c r="U24" s="3">
        <f t="shared" si="16"/>
        <v>-0.7994376806875011</v>
      </c>
      <c r="V24" s="4">
        <f t="shared" si="17"/>
        <v>-33.469417908243855</v>
      </c>
      <c r="W24">
        <f t="shared" si="18"/>
        <v>0.88749873626776177</v>
      </c>
    </row>
    <row r="25" spans="1:23" x14ac:dyDescent="0.25">
      <c r="A25">
        <v>0.25</v>
      </c>
      <c r="B25">
        <v>-0.74100434966299378</v>
      </c>
      <c r="D25">
        <v>13</v>
      </c>
      <c r="E25">
        <f t="shared" si="3"/>
        <v>0.12999999999999998</v>
      </c>
      <c r="F25">
        <f t="shared" si="4"/>
        <v>0.88749873626776177</v>
      </c>
      <c r="G25" s="3">
        <f t="shared" si="0"/>
        <v>0.5333006289496568</v>
      </c>
      <c r="H25" s="3">
        <f t="shared" si="5"/>
        <v>216574.86123795592</v>
      </c>
      <c r="I25" s="3">
        <f t="shared" si="6"/>
        <v>-0.35419810731810497</v>
      </c>
      <c r="J25" s="4">
        <f t="shared" si="7"/>
        <v>-10.091513324700855</v>
      </c>
      <c r="K25">
        <f t="shared" si="8"/>
        <v>0.13499999999999998</v>
      </c>
      <c r="L25">
        <f t="shared" si="9"/>
        <v>-0.47485556256685357</v>
      </c>
      <c r="M25">
        <f t="shared" si="1"/>
        <v>0.48138123092176366</v>
      </c>
      <c r="N25" s="3">
        <f t="shared" si="10"/>
        <v>201738.82292364698</v>
      </c>
      <c r="O25" s="3">
        <f t="shared" si="11"/>
        <v>0.95623679348861723</v>
      </c>
      <c r="P25" s="4">
        <f t="shared" si="12"/>
        <v>48.056670820965003</v>
      </c>
      <c r="Q25">
        <f t="shared" si="13"/>
        <v>0.13999999999999999</v>
      </c>
      <c r="R25">
        <f t="shared" si="14"/>
        <v>1.9495472859340703</v>
      </c>
      <c r="S25">
        <f t="shared" si="2"/>
        <v>0.42946183289387047</v>
      </c>
      <c r="T25" s="3">
        <f t="shared" si="15"/>
        <v>228140.56994382202</v>
      </c>
      <c r="U25" s="3">
        <f t="shared" si="16"/>
        <v>-1.5200854530401999</v>
      </c>
      <c r="V25" s="4">
        <f t="shared" si="17"/>
        <v>-85.171534283049581</v>
      </c>
      <c r="W25">
        <f t="shared" si="18"/>
        <v>0.87460452532089517</v>
      </c>
    </row>
    <row r="26" spans="1:23" x14ac:dyDescent="0.25">
      <c r="A26">
        <v>0.27500000000000002</v>
      </c>
      <c r="B26">
        <v>-0.88987818261231855</v>
      </c>
      <c r="D26">
        <v>14</v>
      </c>
      <c r="E26">
        <f t="shared" si="3"/>
        <v>0.13999999999999999</v>
      </c>
      <c r="F26">
        <f t="shared" si="4"/>
        <v>0.87460452532089517</v>
      </c>
      <c r="G26" s="3">
        <f t="shared" si="0"/>
        <v>0.42946183289387047</v>
      </c>
      <c r="H26" s="3">
        <f t="shared" si="5"/>
        <v>216434.44328074454</v>
      </c>
      <c r="I26" s="3">
        <f t="shared" si="6"/>
        <v>-0.4451426924270247</v>
      </c>
      <c r="J26" s="4">
        <f t="shared" si="7"/>
        <v>-14.227136083595285</v>
      </c>
      <c r="K26">
        <f t="shared" si="8"/>
        <v>0.14499999999999999</v>
      </c>
      <c r="L26">
        <f t="shared" si="9"/>
        <v>-1.1883302068004211</v>
      </c>
      <c r="M26">
        <f t="shared" si="1"/>
        <v>0.37754243486597727</v>
      </c>
      <c r="N26" s="3">
        <f t="shared" si="10"/>
        <v>193969.08404794341</v>
      </c>
      <c r="O26" s="3">
        <f t="shared" si="11"/>
        <v>1.5658726416663984</v>
      </c>
      <c r="P26" s="4">
        <f t="shared" si="12"/>
        <v>104.73627599416518</v>
      </c>
      <c r="Q26">
        <f t="shared" si="13"/>
        <v>0.15</v>
      </c>
      <c r="R26">
        <f t="shared" si="14"/>
        <v>3.111601406040152</v>
      </c>
      <c r="S26">
        <f t="shared" si="2"/>
        <v>0.32562303683808408</v>
      </c>
      <c r="T26" s="3">
        <f t="shared" si="15"/>
        <v>240795.33931177726</v>
      </c>
      <c r="U26" s="3">
        <f t="shared" si="16"/>
        <v>-2.7859783692020681</v>
      </c>
      <c r="V26" s="4">
        <f t="shared" si="17"/>
        <v>-200.22279613263996</v>
      </c>
      <c r="W26">
        <f t="shared" si="18"/>
        <v>0.85395228647540633</v>
      </c>
    </row>
    <row r="27" spans="1:23" x14ac:dyDescent="0.25">
      <c r="A27">
        <v>0.3</v>
      </c>
      <c r="B27">
        <v>-0.95579354160768759</v>
      </c>
      <c r="D27">
        <v>15</v>
      </c>
      <c r="E27">
        <f t="shared" si="3"/>
        <v>0.15</v>
      </c>
      <c r="F27">
        <f t="shared" si="4"/>
        <v>0.85395228647540633</v>
      </c>
      <c r="G27" s="3">
        <f t="shared" si="0"/>
        <v>0.32562303683808408</v>
      </c>
      <c r="H27" s="3">
        <f t="shared" si="5"/>
        <v>216209.54039971717</v>
      </c>
      <c r="I27" s="3">
        <f t="shared" si="6"/>
        <v>-0.5283292496373222</v>
      </c>
      <c r="J27" s="4">
        <f t="shared" si="7"/>
        <v>-18.415228727920805</v>
      </c>
      <c r="K27">
        <f t="shared" si="8"/>
        <v>0.155</v>
      </c>
      <c r="L27">
        <f t="shared" si="9"/>
        <v>-2.0004081663523188</v>
      </c>
      <c r="M27">
        <f t="shared" si="1"/>
        <v>0.26778661072259158</v>
      </c>
      <c r="N27" s="3">
        <f t="shared" si="10"/>
        <v>185125.55506842324</v>
      </c>
      <c r="O27" s="3">
        <f t="shared" si="11"/>
        <v>2.2681947770749105</v>
      </c>
      <c r="P27" s="4">
        <f t="shared" si="12"/>
        <v>191.31504926422051</v>
      </c>
      <c r="Q27">
        <f t="shared" si="13"/>
        <v>0.16</v>
      </c>
      <c r="R27">
        <f t="shared" si="14"/>
        <v>4.8644055590390245</v>
      </c>
      <c r="S27">
        <f t="shared" si="2"/>
        <v>0.20995018460709913</v>
      </c>
      <c r="T27" s="3">
        <f t="shared" si="15"/>
        <v>259883.37653793496</v>
      </c>
      <c r="U27" s="3">
        <f t="shared" si="16"/>
        <v>-4.654455374431925</v>
      </c>
      <c r="V27" s="4">
        <f t="shared" si="17"/>
        <v>-400.60816255535377</v>
      </c>
      <c r="W27">
        <f t="shared" si="18"/>
        <v>0.82539539964136743</v>
      </c>
    </row>
    <row r="28" spans="1:23" x14ac:dyDescent="0.25">
      <c r="A28">
        <v>0.32500000000000001</v>
      </c>
      <c r="B28">
        <v>-0.93285969416904313</v>
      </c>
      <c r="D28">
        <v>16</v>
      </c>
      <c r="E28">
        <f t="shared" si="3"/>
        <v>0.16</v>
      </c>
      <c r="F28">
        <f t="shared" si="4"/>
        <v>0.82539539964136743</v>
      </c>
      <c r="G28" s="3">
        <f t="shared" si="0"/>
        <v>0.20995018460709913</v>
      </c>
      <c r="H28" s="3">
        <f t="shared" si="5"/>
        <v>215898.55590209449</v>
      </c>
      <c r="I28" s="3">
        <f t="shared" si="6"/>
        <v>-0.6154452150342683</v>
      </c>
      <c r="J28" s="4">
        <f t="shared" si="7"/>
        <v>-23.186187860261931</v>
      </c>
      <c r="K28">
        <f t="shared" si="8"/>
        <v>0.16500000000000001</v>
      </c>
      <c r="L28">
        <f t="shared" si="9"/>
        <v>-3.0003255973018512</v>
      </c>
      <c r="M28">
        <f t="shared" si="1"/>
        <v>0.15211375849160666</v>
      </c>
      <c r="N28" s="3">
        <f t="shared" si="10"/>
        <v>174236.45424538283</v>
      </c>
      <c r="O28" s="3">
        <f t="shared" si="11"/>
        <v>3.152439355793458</v>
      </c>
      <c r="P28" s="4">
        <f t="shared" si="12"/>
        <v>333.06275882434335</v>
      </c>
      <c r="Q28">
        <f t="shared" si="13"/>
        <v>0.17</v>
      </c>
      <c r="R28">
        <f t="shared" si="14"/>
        <v>7.7185124547308543</v>
      </c>
      <c r="S28">
        <f t="shared" si="2"/>
        <v>9.4277332376114173E-2</v>
      </c>
      <c r="T28" s="3">
        <f t="shared" si="15"/>
        <v>290964.60063201899</v>
      </c>
      <c r="U28" s="3">
        <f t="shared" si="16"/>
        <v>-7.6242351223547402</v>
      </c>
      <c r="V28" s="4">
        <f t="shared" si="17"/>
        <v>-750.15197144119475</v>
      </c>
      <c r="W28">
        <f t="shared" si="18"/>
        <v>0.78792297381816845</v>
      </c>
    </row>
    <row r="29" spans="1:23" x14ac:dyDescent="0.25">
      <c r="A29">
        <v>0.35</v>
      </c>
      <c r="B29">
        <v>-0.82345245496730368</v>
      </c>
      <c r="D29">
        <v>17</v>
      </c>
      <c r="E29">
        <f t="shared" si="3"/>
        <v>0.17</v>
      </c>
      <c r="F29">
        <f t="shared" si="4"/>
        <v>0.78792297381816845</v>
      </c>
      <c r="G29" s="3">
        <f t="shared" si="0"/>
        <v>9.4277332376114173E-2</v>
      </c>
      <c r="H29" s="3">
        <f t="shared" si="5"/>
        <v>215490.48118487984</v>
      </c>
      <c r="I29" s="3">
        <f t="shared" si="6"/>
        <v>-0.69364564144205432</v>
      </c>
      <c r="J29" s="4">
        <f t="shared" si="7"/>
        <v>-27.795429560419148</v>
      </c>
      <c r="K29">
        <f t="shared" si="8"/>
        <v>0.17500000000000002</v>
      </c>
      <c r="L29">
        <f t="shared" si="9"/>
        <v>-4.0762771992551832</v>
      </c>
      <c r="M29">
        <f t="shared" si="1"/>
        <v>3.6440906260621693E-2</v>
      </c>
      <c r="N29" s="3">
        <f t="shared" si="10"/>
        <v>162519.34130011106</v>
      </c>
      <c r="O29" s="3">
        <f t="shared" si="11"/>
        <v>4.1127181055158051</v>
      </c>
      <c r="P29" s="4">
        <f t="shared" si="12"/>
        <v>532.08785927079373</v>
      </c>
      <c r="Q29">
        <f t="shared" si="13"/>
        <v>0.18000000000000002</v>
      </c>
      <c r="R29">
        <f t="shared" si="14"/>
        <v>11.707634454838235</v>
      </c>
      <c r="S29">
        <f t="shared" si="2"/>
        <v>-2.1927691467806935E-2</v>
      </c>
      <c r="T29" s="3">
        <f t="shared" si="15"/>
        <v>334406.13921318838</v>
      </c>
      <c r="U29" s="3">
        <f t="shared" si="16"/>
        <v>-11.729562146306042</v>
      </c>
      <c r="V29" s="4">
        <f t="shared" si="17"/>
        <v>-1245.4991846819551</v>
      </c>
      <c r="W29">
        <f t="shared" si="18"/>
        <v>0.74180365110676105</v>
      </c>
    </row>
    <row r="30" spans="1:23" x14ac:dyDescent="0.25">
      <c r="A30">
        <v>0.375</v>
      </c>
      <c r="B30">
        <v>-0.63796965868689592</v>
      </c>
      <c r="D30">
        <v>18</v>
      </c>
      <c r="E30">
        <f t="shared" si="3"/>
        <v>0.18000000000000002</v>
      </c>
      <c r="F30">
        <f t="shared" si="4"/>
        <v>0.74180365110676105</v>
      </c>
      <c r="G30" s="3">
        <f t="shared" si="0"/>
        <v>-2.1927691467806935E-2</v>
      </c>
      <c r="H30" s="3">
        <f t="shared" si="5"/>
        <v>214988.24176055263</v>
      </c>
      <c r="I30" s="3">
        <f t="shared" si="6"/>
        <v>-0.76373134257456798</v>
      </c>
      <c r="J30" s="4">
        <f t="shared" si="7"/>
        <v>-32.187793125438816</v>
      </c>
      <c r="K30">
        <f t="shared" si="8"/>
        <v>0.18500000000000003</v>
      </c>
      <c r="L30">
        <f t="shared" si="9"/>
        <v>-5.2129380770994205</v>
      </c>
      <c r="M30">
        <f t="shared" si="1"/>
        <v>-8.0296289196235562E-2</v>
      </c>
      <c r="N30" s="3">
        <f t="shared" si="10"/>
        <v>150141.1043403873</v>
      </c>
      <c r="O30" s="3">
        <f t="shared" si="11"/>
        <v>5.1326417879031849</v>
      </c>
      <c r="P30" s="4">
        <f t="shared" si="12"/>
        <v>802.98385960082715</v>
      </c>
      <c r="Q30">
        <f t="shared" si="13"/>
        <v>0.19000000000000003</v>
      </c>
      <c r="R30">
        <f t="shared" si="14"/>
        <v>17.123358774377692</v>
      </c>
      <c r="S30">
        <f t="shared" si="2"/>
        <v>-0.13866488692466419</v>
      </c>
      <c r="T30" s="3">
        <f t="shared" si="15"/>
        <v>393383.37705297308</v>
      </c>
      <c r="U30" s="3">
        <f t="shared" si="16"/>
        <v>-17.262023661302358</v>
      </c>
      <c r="V30" s="4">
        <f t="shared" si="17"/>
        <v>-1890.2382434914114</v>
      </c>
      <c r="W30">
        <f t="shared" si="18"/>
        <v>0.68739091249151363</v>
      </c>
    </row>
    <row r="31" spans="1:23" x14ac:dyDescent="0.25">
      <c r="A31">
        <v>0.4</v>
      </c>
      <c r="B31">
        <v>-0.39384184362035035</v>
      </c>
      <c r="D31">
        <v>19</v>
      </c>
      <c r="E31">
        <f t="shared" si="3"/>
        <v>0.19000000000000003</v>
      </c>
      <c r="F31">
        <f t="shared" si="4"/>
        <v>0.68739091249151363</v>
      </c>
      <c r="G31" s="3">
        <f t="shared" si="0"/>
        <v>-0.13866488692466419</v>
      </c>
      <c r="H31" s="3">
        <f t="shared" si="5"/>
        <v>214395.68703703259</v>
      </c>
      <c r="I31" s="3">
        <f t="shared" si="6"/>
        <v>-0.82605579941617779</v>
      </c>
      <c r="J31" s="4">
        <f t="shared" si="7"/>
        <v>-36.307222015390849</v>
      </c>
      <c r="K31">
        <f t="shared" si="8"/>
        <v>0.19500000000000003</v>
      </c>
      <c r="L31">
        <f t="shared" si="9"/>
        <v>-6.3925173805097035</v>
      </c>
      <c r="M31">
        <f t="shared" si="1"/>
        <v>-0.19703348465309281</v>
      </c>
      <c r="N31" s="3">
        <f t="shared" si="10"/>
        <v>137295.48572624932</v>
      </c>
      <c r="O31" s="3">
        <f t="shared" si="11"/>
        <v>6.1954838958566105</v>
      </c>
      <c r="P31" s="4">
        <f t="shared" si="12"/>
        <v>1164.5324085475124</v>
      </c>
      <c r="Q31">
        <f t="shared" si="13"/>
        <v>0.20000000000000004</v>
      </c>
      <c r="R31">
        <f t="shared" si="14"/>
        <v>24.341111303595671</v>
      </c>
      <c r="S31">
        <f t="shared" si="2"/>
        <v>-0.2554020823815214</v>
      </c>
      <c r="T31" s="3">
        <f t="shared" si="15"/>
        <v>471984.70209615683</v>
      </c>
      <c r="U31" s="3">
        <f t="shared" si="16"/>
        <v>-24.596513385977193</v>
      </c>
      <c r="V31" s="4">
        <f t="shared" si="17"/>
        <v>-2679.6457857379182</v>
      </c>
      <c r="W31">
        <f t="shared" si="18"/>
        <v>0.62513964909753905</v>
      </c>
    </row>
    <row r="32" spans="1:23" x14ac:dyDescent="0.25">
      <c r="A32">
        <v>0.42499999999999999</v>
      </c>
      <c r="B32">
        <v>-0.11389238208818794</v>
      </c>
      <c r="D32">
        <v>20</v>
      </c>
      <c r="E32">
        <f t="shared" si="3"/>
        <v>0.20000000000000004</v>
      </c>
      <c r="F32">
        <f t="shared" si="4"/>
        <v>0.62513964909753905</v>
      </c>
      <c r="G32" s="3">
        <f t="shared" si="0"/>
        <v>-0.2554020823815214</v>
      </c>
      <c r="H32" s="3">
        <f t="shared" si="5"/>
        <v>213717.77077867219</v>
      </c>
      <c r="I32" s="3">
        <f t="shared" si="6"/>
        <v>-0.88054173147906045</v>
      </c>
      <c r="J32" s="4">
        <f t="shared" si="7"/>
        <v>-40.084758175434281</v>
      </c>
      <c r="K32">
        <f t="shared" si="8"/>
        <v>0.20500000000000004</v>
      </c>
      <c r="L32">
        <f t="shared" si="9"/>
        <v>-7.5922357768664899</v>
      </c>
      <c r="M32">
        <f t="shared" si="1"/>
        <v>-0.30888247197179824</v>
      </c>
      <c r="N32" s="3">
        <f t="shared" si="10"/>
        <v>111671.10178082841</v>
      </c>
      <c r="O32" s="3">
        <f t="shared" si="11"/>
        <v>7.2833533048946917</v>
      </c>
      <c r="P32" s="4">
        <f t="shared" si="12"/>
        <v>1824.9511914068732</v>
      </c>
      <c r="Q32">
        <f t="shared" si="13"/>
        <v>0.21000000000000005</v>
      </c>
      <c r="R32">
        <f t="shared" si="14"/>
        <v>37.52501105898935</v>
      </c>
      <c r="S32">
        <f t="shared" si="2"/>
        <v>-0.36236286156207503</v>
      </c>
      <c r="T32" s="3">
        <f t="shared" si="15"/>
        <v>615557.37043239397</v>
      </c>
      <c r="U32" s="3">
        <f t="shared" si="16"/>
        <v>-37.887373920551425</v>
      </c>
      <c r="V32" s="4">
        <f t="shared" si="17"/>
        <v>-3927.9704235697186</v>
      </c>
      <c r="W32">
        <f t="shared" si="18"/>
        <v>0.55566856422273314</v>
      </c>
    </row>
    <row r="33" spans="1:23" x14ac:dyDescent="0.25">
      <c r="A33">
        <v>0.45</v>
      </c>
      <c r="B33">
        <v>0.17579848638703804</v>
      </c>
      <c r="D33">
        <v>21</v>
      </c>
      <c r="E33">
        <f t="shared" si="3"/>
        <v>0.21000000000000005</v>
      </c>
      <c r="F33">
        <f t="shared" si="4"/>
        <v>0.55566856422273314</v>
      </c>
      <c r="G33" s="3">
        <f t="shared" si="0"/>
        <v>-0.36236286156207503</v>
      </c>
      <c r="H33" s="3">
        <f t="shared" si="5"/>
        <v>212961.23066438557</v>
      </c>
      <c r="I33" s="3">
        <f t="shared" si="6"/>
        <v>-0.91803142578480812</v>
      </c>
      <c r="J33" s="4">
        <f t="shared" si="7"/>
        <v>-42.823362266262748</v>
      </c>
      <c r="K33">
        <f t="shared" si="8"/>
        <v>0.21500000000000005</v>
      </c>
      <c r="L33">
        <f t="shared" si="9"/>
        <v>-8.6513543230237602</v>
      </c>
      <c r="M33">
        <f t="shared" si="1"/>
        <v>-0.41584325115235188</v>
      </c>
      <c r="N33" s="3">
        <f t="shared" si="10"/>
        <v>77676.741034062637</v>
      </c>
      <c r="O33" s="3">
        <f t="shared" si="11"/>
        <v>8.2355110718714091</v>
      </c>
      <c r="P33" s="4">
        <f t="shared" si="12"/>
        <v>3154.5675050730356</v>
      </c>
      <c r="Q33">
        <f t="shared" si="13"/>
        <v>0.22000000000000006</v>
      </c>
      <c r="R33">
        <f t="shared" si="14"/>
        <v>64.075252288346078</v>
      </c>
      <c r="S33">
        <f t="shared" si="2"/>
        <v>-0.46932364074262867</v>
      </c>
      <c r="T33" s="3">
        <f t="shared" si="15"/>
        <v>904689.49742008874</v>
      </c>
      <c r="U33" s="3">
        <f t="shared" si="16"/>
        <v>-64.544575929088708</v>
      </c>
      <c r="V33" s="4">
        <f t="shared" si="17"/>
        <v>-5942.7172526761542</v>
      </c>
      <c r="W33">
        <f t="shared" si="18"/>
        <v>0.48074179937004186</v>
      </c>
    </row>
    <row r="34" spans="1:23" x14ac:dyDescent="0.25">
      <c r="A34">
        <v>0.47499999999999998</v>
      </c>
      <c r="B34">
        <v>0.44832560806824961</v>
      </c>
      <c r="D34">
        <v>22</v>
      </c>
      <c r="E34">
        <f t="shared" si="3"/>
        <v>0.22000000000000006</v>
      </c>
      <c r="F34">
        <f t="shared" si="4"/>
        <v>0.48074179937004186</v>
      </c>
      <c r="G34" s="3">
        <f t="shared" si="0"/>
        <v>-0.46932364074262867</v>
      </c>
      <c r="H34" s="3">
        <f t="shared" si="5"/>
        <v>212145.27819513975</v>
      </c>
      <c r="I34" s="3">
        <f t="shared" si="6"/>
        <v>-0.95006544011267047</v>
      </c>
      <c r="J34" s="4">
        <f t="shared" si="7"/>
        <v>-45.257639537858772</v>
      </c>
      <c r="K34">
        <f t="shared" si="8"/>
        <v>0.22500000000000006</v>
      </c>
      <c r="L34">
        <f t="shared" si="9"/>
        <v>-9.7022270966481834</v>
      </c>
      <c r="M34">
        <f t="shared" si="1"/>
        <v>-0.52280403033290535</v>
      </c>
      <c r="N34" s="3">
        <f t="shared" si="10"/>
        <v>43947.043546319568</v>
      </c>
      <c r="O34" s="3">
        <f t="shared" si="11"/>
        <v>9.1794230663152785</v>
      </c>
      <c r="P34" s="4">
        <f t="shared" si="12"/>
        <v>6561.2774687562942</v>
      </c>
      <c r="Q34">
        <f t="shared" si="13"/>
        <v>0.23000000000000007</v>
      </c>
      <c r="R34">
        <f t="shared" si="14"/>
        <v>132.15886756987453</v>
      </c>
      <c r="S34">
        <f t="shared" si="2"/>
        <v>-0.56644409419892316</v>
      </c>
      <c r="T34" s="3">
        <f t="shared" si="15"/>
        <v>1646120.0678359335</v>
      </c>
      <c r="U34" s="3">
        <f t="shared" si="16"/>
        <v>-132.72531166407344</v>
      </c>
      <c r="V34" s="4">
        <f t="shared" si="17"/>
        <v>-9630.8387131506715</v>
      </c>
      <c r="W34">
        <f t="shared" si="18"/>
        <v>0.40088296644772636</v>
      </c>
    </row>
    <row r="35" spans="1:23" x14ac:dyDescent="0.25">
      <c r="A35">
        <v>0.5</v>
      </c>
      <c r="B35">
        <v>0.6784598559465238</v>
      </c>
      <c r="D35">
        <v>23</v>
      </c>
      <c r="E35">
        <f t="shared" si="3"/>
        <v>0.23000000000000007</v>
      </c>
      <c r="F35">
        <f t="shared" si="4"/>
        <v>0.40088296644772636</v>
      </c>
      <c r="G35" s="3">
        <f t="shared" si="0"/>
        <v>-0.56644409419892316</v>
      </c>
      <c r="H35" s="3">
        <f t="shared" si="5"/>
        <v>211275.61550461574</v>
      </c>
      <c r="I35" s="3">
        <f t="shared" si="6"/>
        <v>-0.96732706064664953</v>
      </c>
      <c r="J35" s="4">
        <f t="shared" si="7"/>
        <v>-46.688037463722274</v>
      </c>
      <c r="K35">
        <f t="shared" si="8"/>
        <v>0.23500000000000007</v>
      </c>
      <c r="L35">
        <f t="shared" si="9"/>
        <v>-10.570805837527011</v>
      </c>
      <c r="M35">
        <f t="shared" si="1"/>
        <v>-0.61008415806494098</v>
      </c>
      <c r="N35" s="3">
        <f t="shared" si="10"/>
        <v>16068.408844343548</v>
      </c>
      <c r="O35" s="3">
        <f t="shared" si="11"/>
        <v>9.9607216794620701</v>
      </c>
      <c r="P35" s="4">
        <f t="shared" si="12"/>
        <v>20284.220508468461</v>
      </c>
      <c r="Q35">
        <f t="shared" si="13"/>
        <v>0.24000000000000007</v>
      </c>
      <c r="R35">
        <f t="shared" si="14"/>
        <v>406.55217351045417</v>
      </c>
      <c r="S35">
        <f t="shared" si="2"/>
        <v>-0.6537242219309588</v>
      </c>
      <c r="T35" s="3">
        <f t="shared" si="15"/>
        <v>4634263.1695288457</v>
      </c>
      <c r="U35" s="3">
        <f t="shared" si="16"/>
        <v>-407.20589773238515</v>
      </c>
      <c r="V35" s="4">
        <f t="shared" si="17"/>
        <v>-18383.804160922336</v>
      </c>
      <c r="W35">
        <f t="shared" si="18"/>
        <v>0.31791280258453802</v>
      </c>
    </row>
    <row r="36" spans="1:23" x14ac:dyDescent="0.25">
      <c r="A36">
        <v>0.52500000000000002</v>
      </c>
      <c r="B36">
        <v>0.84498538253632205</v>
      </c>
      <c r="D36">
        <v>24</v>
      </c>
      <c r="E36">
        <f t="shared" si="3"/>
        <v>0.24000000000000007</v>
      </c>
      <c r="F36">
        <f t="shared" si="4"/>
        <v>0.31791280258453802</v>
      </c>
      <c r="G36" s="3">
        <f t="shared" si="0"/>
        <v>-0.6537242219309588</v>
      </c>
      <c r="H36" s="3">
        <f t="shared" si="5"/>
        <v>210372.07042014561</v>
      </c>
      <c r="I36" s="3">
        <f t="shared" si="6"/>
        <v>-0.97163702451549683</v>
      </c>
      <c r="J36" s="4">
        <f t="shared" si="7"/>
        <v>-47.202281483668827</v>
      </c>
      <c r="K36">
        <f t="shared" si="8"/>
        <v>0.24500000000000008</v>
      </c>
      <c r="L36">
        <f t="shared" si="9"/>
        <v>-11.246646160914329</v>
      </c>
      <c r="M36">
        <f t="shared" si="1"/>
        <v>-0.69736428579697674</v>
      </c>
      <c r="N36" s="3">
        <f t="shared" si="10"/>
        <v>-5623.9313037891825</v>
      </c>
      <c r="O36" s="3">
        <f t="shared" si="11"/>
        <v>10.549281875117352</v>
      </c>
      <c r="P36" s="4">
        <f t="shared" si="12"/>
        <v>-63166.865483877911</v>
      </c>
      <c r="Q36">
        <f t="shared" si="13"/>
        <v>0.25000000000000006</v>
      </c>
      <c r="R36">
        <f t="shared" si="14"/>
        <v>-1262.5473740601371</v>
      </c>
      <c r="S36">
        <f t="shared" si="2"/>
        <v>-0.74100434966299411</v>
      </c>
      <c r="T36" s="3">
        <f t="shared" si="15"/>
        <v>-40168425.820886001</v>
      </c>
      <c r="U36" s="3">
        <f t="shared" si="16"/>
        <v>1261.8063697104742</v>
      </c>
      <c r="V36" s="4">
        <f t="shared" si="17"/>
        <v>-11569.09132563091</v>
      </c>
      <c r="W36">
        <f t="shared" si="18"/>
        <v>0.23335823095700514</v>
      </c>
    </row>
    <row r="37" spans="1:23" x14ac:dyDescent="0.25">
      <c r="A37">
        <v>0.55000000000000004</v>
      </c>
      <c r="B37">
        <v>0.93265649725528332</v>
      </c>
      <c r="D37">
        <v>25</v>
      </c>
      <c r="E37">
        <f t="shared" si="3"/>
        <v>0.25000000000000006</v>
      </c>
      <c r="F37">
        <f t="shared" si="4"/>
        <v>0.23335823095700514</v>
      </c>
      <c r="G37" s="3">
        <f t="shared" si="0"/>
        <v>-0.74100434966299411</v>
      </c>
      <c r="H37" s="3">
        <f t="shared" si="5"/>
        <v>209451.27113512179</v>
      </c>
      <c r="I37" s="3">
        <f t="shared" si="6"/>
        <v>-0.97436258061999925</v>
      </c>
      <c r="J37" s="4">
        <f t="shared" si="7"/>
        <v>-47.609419219655365</v>
      </c>
      <c r="K37">
        <f t="shared" si="8"/>
        <v>0.25500000000000006</v>
      </c>
      <c r="L37">
        <f t="shared" si="9"/>
        <v>-11.907043670055115</v>
      </c>
      <c r="M37">
        <f t="shared" si="1"/>
        <v>-0.77077911625285911</v>
      </c>
      <c r="N37" s="3">
        <f t="shared" si="10"/>
        <v>-26820.605881390078</v>
      </c>
      <c r="O37" s="3">
        <f t="shared" si="11"/>
        <v>11.136264553802256</v>
      </c>
      <c r="P37" s="4">
        <f t="shared" si="12"/>
        <v>-14365.995081210889</v>
      </c>
      <c r="Q37">
        <f t="shared" si="13"/>
        <v>0.26000000000000006</v>
      </c>
      <c r="R37">
        <f t="shared" si="14"/>
        <v>-286.61044920106423</v>
      </c>
      <c r="S37">
        <f t="shared" si="2"/>
        <v>-0.800553882842724</v>
      </c>
      <c r="T37" s="3">
        <f t="shared" si="15"/>
        <v>-8843932.4389882628</v>
      </c>
      <c r="U37" s="3">
        <f t="shared" si="16"/>
        <v>285.80989531822149</v>
      </c>
      <c r="V37" s="4">
        <f t="shared" si="17"/>
        <v>-5664.5506391960744</v>
      </c>
      <c r="W37">
        <f t="shared" si="18"/>
        <v>0.14753641501115594</v>
      </c>
    </row>
    <row r="38" spans="1:23" x14ac:dyDescent="0.25">
      <c r="A38">
        <v>0.57499999999999996</v>
      </c>
      <c r="B38">
        <v>0.93359357470502891</v>
      </c>
      <c r="D38">
        <v>26</v>
      </c>
      <c r="E38">
        <f t="shared" si="3"/>
        <v>0.26000000000000006</v>
      </c>
      <c r="F38">
        <f t="shared" si="4"/>
        <v>0.14753641501115594</v>
      </c>
      <c r="G38" s="3">
        <f t="shared" si="0"/>
        <v>-0.800553882842724</v>
      </c>
      <c r="H38" s="3">
        <f t="shared" si="5"/>
        <v>208516.67155947149</v>
      </c>
      <c r="I38" s="3">
        <f t="shared" si="6"/>
        <v>-0.94809029785387988</v>
      </c>
      <c r="J38" s="4">
        <f t="shared" si="7"/>
        <v>-45.901698717990548</v>
      </c>
      <c r="K38">
        <f t="shared" si="8"/>
        <v>0.26500000000000007</v>
      </c>
      <c r="L38">
        <f t="shared" si="9"/>
        <v>-12.016413745256342</v>
      </c>
      <c r="M38">
        <f t="shared" si="1"/>
        <v>-0.83032864943258899</v>
      </c>
      <c r="N38" s="3">
        <f t="shared" si="10"/>
        <v>-30331.039916164609</v>
      </c>
      <c r="O38" s="3">
        <f t="shared" si="11"/>
        <v>11.186085095823753</v>
      </c>
      <c r="P38" s="4">
        <f t="shared" si="12"/>
        <v>-12788.654841177487</v>
      </c>
      <c r="Q38">
        <f t="shared" si="13"/>
        <v>0.27000000000000007</v>
      </c>
      <c r="R38">
        <f t="shared" si="14"/>
        <v>-255.16654342135871</v>
      </c>
      <c r="S38">
        <f t="shared" si="2"/>
        <v>-0.86010341602245388</v>
      </c>
      <c r="T38" s="3">
        <f t="shared" si="15"/>
        <v>-7834682.3600042844</v>
      </c>
      <c r="U38" s="3">
        <f t="shared" si="16"/>
        <v>254.30644000533627</v>
      </c>
      <c r="V38" s="4">
        <f t="shared" si="17"/>
        <v>-5366.7285892488144</v>
      </c>
      <c r="W38">
        <f t="shared" si="18"/>
        <v>6.4064553791583684E-2</v>
      </c>
    </row>
    <row r="39" spans="1:23" x14ac:dyDescent="0.25">
      <c r="A39">
        <v>0.6</v>
      </c>
      <c r="B39">
        <v>0.8479901696493729</v>
      </c>
      <c r="D39">
        <v>27</v>
      </c>
      <c r="E39">
        <f t="shared" si="3"/>
        <v>0.27000000000000007</v>
      </c>
      <c r="F39">
        <f t="shared" si="4"/>
        <v>6.4064553791583684E-2</v>
      </c>
      <c r="G39" s="3">
        <f t="shared" si="0"/>
        <v>-0.86010341602245388</v>
      </c>
      <c r="H39" s="3">
        <f t="shared" si="5"/>
        <v>207607.66299079036</v>
      </c>
      <c r="I39" s="3">
        <f t="shared" si="6"/>
        <v>-0.92416796981403759</v>
      </c>
      <c r="J39" s="4">
        <f t="shared" si="7"/>
        <v>-44.368830101920409</v>
      </c>
      <c r="K39">
        <f t="shared" si="8"/>
        <v>0.27500000000000008</v>
      </c>
      <c r="L39">
        <f t="shared" si="9"/>
        <v>-12.137363724236533</v>
      </c>
      <c r="M39">
        <f t="shared" si="1"/>
        <v>-0.88987818261231866</v>
      </c>
      <c r="N39" s="3">
        <f t="shared" si="10"/>
        <v>-34213.152294126689</v>
      </c>
      <c r="O39" s="3">
        <f t="shared" si="11"/>
        <v>11.247485541624213</v>
      </c>
      <c r="P39" s="4">
        <f t="shared" si="12"/>
        <v>-11431.022071095795</v>
      </c>
      <c r="Q39">
        <f t="shared" si="13"/>
        <v>0.28000000000000008</v>
      </c>
      <c r="R39">
        <f t="shared" si="14"/>
        <v>-228.11268856710512</v>
      </c>
      <c r="S39">
        <f t="shared" si="2"/>
        <v>-0.90306125441139251</v>
      </c>
      <c r="T39" s="3">
        <f t="shared" si="15"/>
        <v>-6966339.0524085993</v>
      </c>
      <c r="U39" s="3">
        <f t="shared" si="16"/>
        <v>227.20962731269373</v>
      </c>
      <c r="V39" s="4">
        <f t="shared" si="17"/>
        <v>-5097.1859193714745</v>
      </c>
      <c r="W39">
        <f t="shared" si="18"/>
        <v>-1.7321119686384778E-2</v>
      </c>
    </row>
    <row r="40" spans="1:23" x14ac:dyDescent="0.25">
      <c r="A40">
        <v>0.625</v>
      </c>
      <c r="B40">
        <v>0.68406799024496134</v>
      </c>
      <c r="D40">
        <v>28</v>
      </c>
      <c r="E40">
        <f t="shared" si="3"/>
        <v>0.28000000000000008</v>
      </c>
      <c r="F40">
        <f t="shared" si="4"/>
        <v>-1.7321119686384778E-2</v>
      </c>
      <c r="G40" s="3">
        <f t="shared" si="0"/>
        <v>-0.90306125441139251</v>
      </c>
      <c r="H40" s="3">
        <f t="shared" si="5"/>
        <v>206721.37300661526</v>
      </c>
      <c r="I40" s="3">
        <f t="shared" si="6"/>
        <v>-0.88574013472500779</v>
      </c>
      <c r="J40" s="4">
        <f t="shared" si="7"/>
        <v>-41.808933908357211</v>
      </c>
      <c r="K40">
        <f t="shared" si="8"/>
        <v>0.28500000000000009</v>
      </c>
      <c r="L40">
        <f t="shared" si="9"/>
        <v>-11.932867283568193</v>
      </c>
      <c r="M40">
        <f t="shared" si="1"/>
        <v>-0.91624432621046636</v>
      </c>
      <c r="N40" s="3">
        <f t="shared" si="10"/>
        <v>-27649.462326906669</v>
      </c>
      <c r="O40" s="3">
        <f t="shared" si="11"/>
        <v>11.016622957357727</v>
      </c>
      <c r="P40" s="4">
        <f t="shared" si="12"/>
        <v>-13711.375579969321</v>
      </c>
      <c r="Q40">
        <f t="shared" si="13"/>
        <v>0.29000000000000009</v>
      </c>
      <c r="R40">
        <f t="shared" si="14"/>
        <v>-273.82674337998924</v>
      </c>
      <c r="S40">
        <f t="shared" si="2"/>
        <v>-0.92942739800954022</v>
      </c>
      <c r="T40" s="3">
        <f t="shared" si="15"/>
        <v>-8433615.8517290857</v>
      </c>
      <c r="U40" s="3">
        <f t="shared" si="16"/>
        <v>272.89731598197972</v>
      </c>
      <c r="V40" s="4">
        <f t="shared" si="17"/>
        <v>-5542.1728921530639</v>
      </c>
      <c r="W40">
        <f t="shared" si="18"/>
        <v>-9.4660017371732463E-2</v>
      </c>
    </row>
    <row r="41" spans="1:23" x14ac:dyDescent="0.25">
      <c r="A41">
        <v>0.65</v>
      </c>
      <c r="B41">
        <v>0.45728652129557651</v>
      </c>
      <c r="D41">
        <v>29</v>
      </c>
      <c r="E41">
        <f t="shared" si="3"/>
        <v>0.29000000000000009</v>
      </c>
      <c r="F41">
        <f t="shared" si="4"/>
        <v>-9.4660017371732463E-2</v>
      </c>
      <c r="G41" s="3">
        <f t="shared" si="0"/>
        <v>-0.92942739800954022</v>
      </c>
      <c r="H41" s="3">
        <f t="shared" si="5"/>
        <v>205879.15241082184</v>
      </c>
      <c r="I41" s="3">
        <f t="shared" si="6"/>
        <v>-0.83476738063780775</v>
      </c>
      <c r="J41" s="4">
        <f t="shared" si="7"/>
        <v>-38.408807382553533</v>
      </c>
      <c r="K41">
        <f t="shared" si="8"/>
        <v>0.2950000000000001</v>
      </c>
      <c r="L41">
        <f t="shared" si="9"/>
        <v>-11.425258195225029</v>
      </c>
      <c r="M41">
        <f t="shared" si="1"/>
        <v>-0.94261046980861407</v>
      </c>
      <c r="N41" s="3">
        <f t="shared" si="10"/>
        <v>-11356.813567159546</v>
      </c>
      <c r="O41" s="3">
        <f t="shared" si="11"/>
        <v>10.482647725416415</v>
      </c>
      <c r="P41" s="4">
        <f t="shared" si="12"/>
        <v>-30984.534729801133</v>
      </c>
      <c r="Q41">
        <f t="shared" si="13"/>
        <v>0.3000000000000001</v>
      </c>
      <c r="R41">
        <f t="shared" si="14"/>
        <v>-619.40126653956884</v>
      </c>
      <c r="S41">
        <f t="shared" si="2"/>
        <v>-0.95579354160768748</v>
      </c>
      <c r="T41" s="3">
        <f t="shared" si="15"/>
        <v>-19525466.757183719</v>
      </c>
      <c r="U41" s="3">
        <f t="shared" si="16"/>
        <v>618.44547299796113</v>
      </c>
      <c r="V41" s="4">
        <f t="shared" si="17"/>
        <v>-8166.6827754730648</v>
      </c>
      <c r="W41">
        <f t="shared" si="18"/>
        <v>-0.16655175537739192</v>
      </c>
    </row>
    <row r="42" spans="1:23" x14ac:dyDescent="0.25">
      <c r="A42">
        <v>0.67500000000000004</v>
      </c>
      <c r="B42">
        <v>0.18888334672672652</v>
      </c>
      <c r="D42">
        <v>30</v>
      </c>
      <c r="E42">
        <f t="shared" si="3"/>
        <v>0.3000000000000001</v>
      </c>
      <c r="F42">
        <f t="shared" si="4"/>
        <v>-0.16655175537739192</v>
      </c>
      <c r="G42" s="3">
        <f t="shared" si="0"/>
        <v>-0.95579354160768748</v>
      </c>
      <c r="H42" s="3">
        <f t="shared" si="5"/>
        <v>205096.25138394019</v>
      </c>
      <c r="I42" s="3">
        <f t="shared" si="6"/>
        <v>-0.78924178623029562</v>
      </c>
      <c r="J42" s="4">
        <f t="shared" si="7"/>
        <v>-35.444787096965619</v>
      </c>
      <c r="K42">
        <f t="shared" si="8"/>
        <v>0.3050000000000001</v>
      </c>
      <c r="L42">
        <f t="shared" si="9"/>
        <v>-10.97721181995191</v>
      </c>
      <c r="M42">
        <f t="shared" si="1"/>
        <v>-0.95120677211995863</v>
      </c>
      <c r="N42" s="3">
        <f t="shared" si="10"/>
        <v>3024.0601958172365</v>
      </c>
      <c r="O42" s="3">
        <f t="shared" si="11"/>
        <v>10.026005047831951</v>
      </c>
      <c r="P42" s="4">
        <f t="shared" si="12"/>
        <v>108841.9803644842</v>
      </c>
      <c r="Q42">
        <f t="shared" si="13"/>
        <v>0.31000000000000011</v>
      </c>
      <c r="R42">
        <f t="shared" si="14"/>
        <v>2177.0275034052761</v>
      </c>
      <c r="S42">
        <f t="shared" si="2"/>
        <v>-0.94662000263222967</v>
      </c>
      <c r="T42" s="3">
        <f t="shared" si="15"/>
        <v>23914739.512083456</v>
      </c>
      <c r="U42" s="3">
        <f t="shared" si="16"/>
        <v>-2177.9741234079083</v>
      </c>
      <c r="V42" s="4">
        <f t="shared" si="17"/>
        <v>-44066.484708474403</v>
      </c>
      <c r="W42">
        <f t="shared" si="18"/>
        <v>-0.23354547902418804</v>
      </c>
    </row>
    <row r="43" spans="1:23" x14ac:dyDescent="0.25">
      <c r="A43">
        <v>0.7</v>
      </c>
      <c r="B43">
        <v>-9.6116845796939063E-2</v>
      </c>
      <c r="D43">
        <v>31</v>
      </c>
      <c r="E43">
        <f t="shared" si="3"/>
        <v>0.31000000000000011</v>
      </c>
      <c r="F43">
        <f t="shared" si="4"/>
        <v>-0.23354547902418804</v>
      </c>
      <c r="G43" s="3">
        <f t="shared" si="0"/>
        <v>-0.94662000263222967</v>
      </c>
      <c r="H43" s="3">
        <f t="shared" si="5"/>
        <v>204366.68973342658</v>
      </c>
      <c r="I43" s="3">
        <f t="shared" si="6"/>
        <v>-0.71307452360804158</v>
      </c>
      <c r="J43" s="4">
        <f t="shared" si="7"/>
        <v>-30.548314900650045</v>
      </c>
      <c r="K43">
        <f t="shared" si="8"/>
        <v>0.31500000000000011</v>
      </c>
      <c r="L43">
        <f t="shared" si="9"/>
        <v>-9.8562646727289565</v>
      </c>
      <c r="M43">
        <f t="shared" si="1"/>
        <v>-0.94203323314450083</v>
      </c>
      <c r="N43" s="3">
        <f t="shared" si="10"/>
        <v>39002.923788577536</v>
      </c>
      <c r="O43" s="3">
        <f t="shared" si="11"/>
        <v>8.9142314395844551</v>
      </c>
      <c r="P43" s="4">
        <f t="shared" si="12"/>
        <v>7074.9550067738519</v>
      </c>
      <c r="Q43">
        <f t="shared" si="13"/>
        <v>0.32000000000000012</v>
      </c>
      <c r="R43">
        <f t="shared" si="14"/>
        <v>141.57103780545935</v>
      </c>
      <c r="S43">
        <f t="shared" si="2"/>
        <v>-0.93744646365677187</v>
      </c>
      <c r="T43" s="3">
        <f t="shared" si="15"/>
        <v>1748618.6017014524</v>
      </c>
      <c r="U43" s="3">
        <f t="shared" si="16"/>
        <v>-142.50848426911614</v>
      </c>
      <c r="V43" s="4">
        <f t="shared" si="17"/>
        <v>-10086.975728622841</v>
      </c>
      <c r="W43">
        <f t="shared" si="18"/>
        <v>-0.29230196951899606</v>
      </c>
    </row>
    <row r="44" spans="1:23" x14ac:dyDescent="0.25">
      <c r="A44">
        <v>0.72499999999999998</v>
      </c>
      <c r="B44">
        <v>-0.37123772019473145</v>
      </c>
      <c r="D44">
        <v>32</v>
      </c>
      <c r="E44">
        <f t="shared" si="3"/>
        <v>0.32000000000000012</v>
      </c>
      <c r="F44">
        <f t="shared" si="4"/>
        <v>-0.29230196951899606</v>
      </c>
      <c r="G44" s="3">
        <f t="shared" si="0"/>
        <v>-0.93744646365677187</v>
      </c>
      <c r="H44" s="3">
        <f t="shared" si="5"/>
        <v>203726.83155193814</v>
      </c>
      <c r="I44" s="3">
        <f t="shared" si="6"/>
        <v>-0.64514449413777575</v>
      </c>
      <c r="J44" s="4">
        <f t="shared" si="7"/>
        <v>-26.371343182540674</v>
      </c>
      <c r="K44">
        <f t="shared" si="8"/>
        <v>0.32500000000000012</v>
      </c>
      <c r="L44">
        <f t="shared" si="9"/>
        <v>-8.8629885038447185</v>
      </c>
      <c r="M44">
        <f t="shared" si="1"/>
        <v>-0.93285969416904269</v>
      </c>
      <c r="N44" s="3">
        <f t="shared" si="10"/>
        <v>70883.952148175624</v>
      </c>
      <c r="O44" s="3">
        <f t="shared" si="11"/>
        <v>7.9301288096756757</v>
      </c>
      <c r="P44" s="4">
        <f t="shared" si="12"/>
        <v>3266.3854117230439</v>
      </c>
      <c r="Q44">
        <f t="shared" si="13"/>
        <v>0.33000000000000013</v>
      </c>
      <c r="R44">
        <f t="shared" si="14"/>
        <v>65.299119696767292</v>
      </c>
      <c r="S44">
        <f t="shared" si="2"/>
        <v>-0.91097824632869473</v>
      </c>
      <c r="T44" s="3">
        <f t="shared" si="15"/>
        <v>918017.41349779582</v>
      </c>
      <c r="U44" s="3">
        <f t="shared" si="16"/>
        <v>-66.210097943095988</v>
      </c>
      <c r="V44" s="4">
        <f t="shared" si="17"/>
        <v>-6084.5773268534713</v>
      </c>
      <c r="W44">
        <f t="shared" si="18"/>
        <v>-0.34399156986157198</v>
      </c>
    </row>
    <row r="45" spans="1:23" x14ac:dyDescent="0.25">
      <c r="A45">
        <v>0.75</v>
      </c>
      <c r="B45">
        <v>-0.6110130307625401</v>
      </c>
      <c r="D45">
        <v>33</v>
      </c>
      <c r="E45">
        <f t="shared" si="3"/>
        <v>0.33000000000000013</v>
      </c>
      <c r="F45">
        <f t="shared" si="4"/>
        <v>-0.34399156986157198</v>
      </c>
      <c r="G45" s="3">
        <f t="shared" si="0"/>
        <v>-0.91097824632869473</v>
      </c>
      <c r="H45" s="3">
        <f t="shared" si="5"/>
        <v>203163.93180420747</v>
      </c>
      <c r="I45" s="3">
        <f t="shared" si="6"/>
        <v>-0.56698667646712275</v>
      </c>
      <c r="J45" s="4">
        <f t="shared" si="7"/>
        <v>-21.787513029432414</v>
      </c>
      <c r="K45">
        <f t="shared" si="8"/>
        <v>0.33500000000000013</v>
      </c>
      <c r="L45">
        <f t="shared" si="9"/>
        <v>-7.6428084347214336</v>
      </c>
      <c r="M45">
        <f t="shared" si="1"/>
        <v>-0.88909679848834677</v>
      </c>
      <c r="N45" s="3">
        <f t="shared" si="10"/>
        <v>110047.87916681479</v>
      </c>
      <c r="O45" s="3">
        <f t="shared" si="11"/>
        <v>6.7537116362330867</v>
      </c>
      <c r="P45" s="4">
        <f t="shared" si="12"/>
        <v>1653.5871229241056</v>
      </c>
      <c r="Q45">
        <f t="shared" si="13"/>
        <v>0.34000000000000014</v>
      </c>
      <c r="R45">
        <f t="shared" si="14"/>
        <v>32.945626018914865</v>
      </c>
      <c r="S45">
        <f t="shared" si="2"/>
        <v>-0.86721535064799882</v>
      </c>
      <c r="T45" s="3">
        <f t="shared" si="15"/>
        <v>565687.86734598293</v>
      </c>
      <c r="U45" s="3">
        <f t="shared" si="16"/>
        <v>-33.812841369562861</v>
      </c>
      <c r="V45" s="4">
        <f t="shared" si="17"/>
        <v>-3603.6335771237027</v>
      </c>
      <c r="W45">
        <f t="shared" si="18"/>
        <v>-0.38767676248496163</v>
      </c>
    </row>
    <row r="46" spans="1:23" x14ac:dyDescent="0.25">
      <c r="A46">
        <v>0.77500000000000002</v>
      </c>
      <c r="B46">
        <v>-0.79334555216006897</v>
      </c>
      <c r="D46">
        <v>34</v>
      </c>
      <c r="E46">
        <f t="shared" si="3"/>
        <v>0.34000000000000014</v>
      </c>
      <c r="F46">
        <f t="shared" si="4"/>
        <v>-0.38767676248496163</v>
      </c>
      <c r="G46" s="3">
        <f t="shared" si="0"/>
        <v>-0.86721535064799882</v>
      </c>
      <c r="H46" s="3">
        <f t="shared" si="5"/>
        <v>202688.20005653877</v>
      </c>
      <c r="I46" s="3">
        <f t="shared" si="6"/>
        <v>-0.47953858816303718</v>
      </c>
      <c r="J46" s="4">
        <f t="shared" si="7"/>
        <v>-16.986420191435624</v>
      </c>
      <c r="K46">
        <f t="shared" si="8"/>
        <v>0.34500000000000014</v>
      </c>
      <c r="L46">
        <f t="shared" si="9"/>
        <v>-6.2479917285302538</v>
      </c>
      <c r="M46">
        <f t="shared" si="1"/>
        <v>-0.84533390280765086</v>
      </c>
      <c r="N46" s="3">
        <f t="shared" si="10"/>
        <v>138869.37007630552</v>
      </c>
      <c r="O46" s="3">
        <f t="shared" si="11"/>
        <v>5.4026578257226028</v>
      </c>
      <c r="P46" s="4">
        <f t="shared" si="12"/>
        <v>937.56139585122514</v>
      </c>
      <c r="Q46">
        <f t="shared" si="13"/>
        <v>0.35000000000000014</v>
      </c>
      <c r="R46">
        <f t="shared" si="14"/>
        <v>18.533415356453901</v>
      </c>
      <c r="S46">
        <f t="shared" si="2"/>
        <v>-0.82345245496730246</v>
      </c>
      <c r="T46" s="3">
        <f t="shared" si="15"/>
        <v>408738.893231783</v>
      </c>
      <c r="U46" s="3">
        <f t="shared" si="16"/>
        <v>-19.356867811421203</v>
      </c>
      <c r="V46" s="4">
        <f t="shared" si="17"/>
        <v>-2160.2382434957431</v>
      </c>
      <c r="W46">
        <f t="shared" si="18"/>
        <v>-0.42299544291435087</v>
      </c>
    </row>
    <row r="47" spans="1:23" x14ac:dyDescent="0.25">
      <c r="A47">
        <v>0.8</v>
      </c>
      <c r="B47">
        <v>-0.90154453161394643</v>
      </c>
      <c r="D47">
        <v>35</v>
      </c>
      <c r="E47">
        <f t="shared" si="3"/>
        <v>0.35000000000000014</v>
      </c>
      <c r="F47">
        <f t="shared" si="4"/>
        <v>-0.42299544291435087</v>
      </c>
      <c r="G47" s="3">
        <f t="shared" si="0"/>
        <v>-0.82345245496730246</v>
      </c>
      <c r="H47" s="3">
        <f t="shared" si="5"/>
        <v>202303.57962666271</v>
      </c>
      <c r="I47" s="3">
        <f t="shared" si="6"/>
        <v>-0.40045701205295159</v>
      </c>
      <c r="J47" s="4">
        <f t="shared" si="7"/>
        <v>-12.987491462094942</v>
      </c>
      <c r="K47">
        <f t="shared" si="8"/>
        <v>0.35500000000000015</v>
      </c>
      <c r="L47">
        <f t="shared" si="9"/>
        <v>-5.0335549119580572</v>
      </c>
      <c r="M47">
        <f t="shared" si="1"/>
        <v>-0.78635589571122089</v>
      </c>
      <c r="N47" s="3">
        <f t="shared" si="10"/>
        <v>152094.58700877675</v>
      </c>
      <c r="O47" s="3">
        <f t="shared" si="11"/>
        <v>4.247199016246836</v>
      </c>
      <c r="P47" s="4">
        <f t="shared" si="12"/>
        <v>596.67129929976511</v>
      </c>
      <c r="Q47">
        <f t="shared" si="13"/>
        <v>0.36000000000000015</v>
      </c>
      <c r="R47">
        <f t="shared" si="14"/>
        <v>11.640305457701901</v>
      </c>
      <c r="S47">
        <f t="shared" si="2"/>
        <v>-0.74925933645513931</v>
      </c>
      <c r="T47" s="3">
        <f t="shared" si="15"/>
        <v>333672.92643437372</v>
      </c>
      <c r="U47" s="3">
        <f t="shared" si="16"/>
        <v>-12.389564794157041</v>
      </c>
      <c r="V47" s="4">
        <f t="shared" si="17"/>
        <v>-1355.0586571085294</v>
      </c>
      <c r="W47">
        <f t="shared" si="18"/>
        <v>-0.45113240021667583</v>
      </c>
    </row>
    <row r="48" spans="1:23" x14ac:dyDescent="0.25">
      <c r="A48">
        <v>0.82499999999999996</v>
      </c>
      <c r="B48">
        <v>-0.9258537035705019</v>
      </c>
      <c r="D48">
        <v>36</v>
      </c>
      <c r="E48">
        <f t="shared" si="3"/>
        <v>0.36000000000000015</v>
      </c>
      <c r="F48">
        <f t="shared" si="4"/>
        <v>-0.45113240021667583</v>
      </c>
      <c r="G48" s="3">
        <f t="shared" si="0"/>
        <v>-0.74925933645513931</v>
      </c>
      <c r="H48" s="3">
        <f t="shared" si="5"/>
        <v>201997.16816164041</v>
      </c>
      <c r="I48" s="3">
        <f t="shared" si="6"/>
        <v>-0.29812693623846348</v>
      </c>
      <c r="J48" s="4">
        <f t="shared" si="7"/>
        <v>-8.3550977063051626</v>
      </c>
      <c r="K48">
        <f t="shared" si="8"/>
        <v>0.36500000000000016</v>
      </c>
      <c r="L48">
        <f t="shared" si="9"/>
        <v>-3.5007430630180614</v>
      </c>
      <c r="M48">
        <f t="shared" si="1"/>
        <v>-0.71216277719905774</v>
      </c>
      <c r="N48" s="3">
        <f t="shared" si="10"/>
        <v>168786.9080437333</v>
      </c>
      <c r="O48" s="3">
        <f t="shared" si="11"/>
        <v>2.7885802858190036</v>
      </c>
      <c r="P48" s="4">
        <f t="shared" si="12"/>
        <v>286.04276016429321</v>
      </c>
      <c r="Q48">
        <f t="shared" si="13"/>
        <v>0.37000000000000016</v>
      </c>
      <c r="R48">
        <f t="shared" si="14"/>
        <v>5.3532737801322394</v>
      </c>
      <c r="S48">
        <f t="shared" si="2"/>
        <v>-0.67506621794297628</v>
      </c>
      <c r="T48" s="3">
        <f t="shared" si="15"/>
        <v>265207.15146564011</v>
      </c>
      <c r="U48" s="3">
        <f t="shared" si="16"/>
        <v>-6.0283399980752161</v>
      </c>
      <c r="V48" s="4">
        <f t="shared" si="17"/>
        <v>-578.63721978579827</v>
      </c>
      <c r="W48">
        <f t="shared" si="18"/>
        <v>-0.47093042527174978</v>
      </c>
    </row>
    <row r="49" spans="1:23" x14ac:dyDescent="0.25">
      <c r="A49">
        <v>0.85</v>
      </c>
      <c r="B49">
        <v>-0.8643299655410297</v>
      </c>
      <c r="D49">
        <v>37</v>
      </c>
      <c r="E49">
        <f t="shared" si="3"/>
        <v>0.37000000000000016</v>
      </c>
      <c r="F49">
        <f t="shared" si="4"/>
        <v>-0.47093042527174978</v>
      </c>
      <c r="G49" s="3">
        <f t="shared" si="0"/>
        <v>-0.67506621794297628</v>
      </c>
      <c r="H49" s="3">
        <f t="shared" si="5"/>
        <v>201781.56766879064</v>
      </c>
      <c r="I49" s="3">
        <f t="shared" si="6"/>
        <v>-0.2041357926712265</v>
      </c>
      <c r="J49" s="4">
        <f t="shared" si="7"/>
        <v>-4.7390603141339902</v>
      </c>
      <c r="K49">
        <f t="shared" si="8"/>
        <v>0.37500000000000017</v>
      </c>
      <c r="L49">
        <f t="shared" si="9"/>
        <v>-2.2480780430719971</v>
      </c>
      <c r="M49">
        <f t="shared" si="1"/>
        <v>-0.63796965868689426</v>
      </c>
      <c r="N49" s="3">
        <f t="shared" si="10"/>
        <v>182428.43011094595</v>
      </c>
      <c r="O49" s="3">
        <f t="shared" si="11"/>
        <v>1.6101083843851027</v>
      </c>
      <c r="P49" s="4">
        <f t="shared" si="12"/>
        <v>116.11414670572739</v>
      </c>
      <c r="Q49">
        <f t="shared" si="13"/>
        <v>0.38000000000000017</v>
      </c>
      <c r="R49">
        <f t="shared" si="14"/>
        <v>1.898743111984138</v>
      </c>
      <c r="S49">
        <f t="shared" si="2"/>
        <v>-0.58914409567358517</v>
      </c>
      <c r="T49" s="3">
        <f t="shared" si="15"/>
        <v>227587.31248950725</v>
      </c>
      <c r="U49" s="3">
        <f t="shared" si="16"/>
        <v>-2.4878872076577232</v>
      </c>
      <c r="V49" s="4">
        <f t="shared" si="17"/>
        <v>-178.76931320277586</v>
      </c>
      <c r="W49">
        <f t="shared" si="18"/>
        <v>-0.48406389701267505</v>
      </c>
    </row>
    <row r="50" spans="1:23" x14ac:dyDescent="0.25">
      <c r="A50">
        <v>0.875</v>
      </c>
      <c r="B50">
        <v>-0.72299368274412945</v>
      </c>
      <c r="D50">
        <v>38</v>
      </c>
      <c r="E50">
        <f t="shared" si="3"/>
        <v>0.38000000000000017</v>
      </c>
      <c r="F50">
        <f t="shared" si="4"/>
        <v>-0.48406389701267505</v>
      </c>
      <c r="G50" s="3">
        <f t="shared" si="0"/>
        <v>-0.58914409567358517</v>
      </c>
      <c r="H50" s="3">
        <f t="shared" si="5"/>
        <v>201638.54416153196</v>
      </c>
      <c r="I50" s="3">
        <f t="shared" si="6"/>
        <v>-0.10508019866091012</v>
      </c>
      <c r="J50" s="4">
        <f t="shared" si="7"/>
        <v>-1.7514702428618834</v>
      </c>
      <c r="K50">
        <f t="shared" si="8"/>
        <v>0.38500000000000018</v>
      </c>
      <c r="L50">
        <f t="shared" si="9"/>
        <v>-1.1583799405145006</v>
      </c>
      <c r="M50">
        <f t="shared" si="1"/>
        <v>-0.54031853266027607</v>
      </c>
      <c r="N50" s="3">
        <f t="shared" si="10"/>
        <v>194295.24244779709</v>
      </c>
      <c r="O50" s="3">
        <f t="shared" si="11"/>
        <v>0.61806140785422448</v>
      </c>
      <c r="P50" s="4">
        <f t="shared" si="12"/>
        <v>25.928671304533086</v>
      </c>
      <c r="Q50">
        <f t="shared" si="13"/>
        <v>0.39000000000000018</v>
      </c>
      <c r="R50">
        <f t="shared" si="14"/>
        <v>5.2024231506605512E-2</v>
      </c>
      <c r="S50">
        <f t="shared" si="2"/>
        <v>-0.49149296964696698</v>
      </c>
      <c r="T50" s="3">
        <f t="shared" si="15"/>
        <v>207476.54388110695</v>
      </c>
      <c r="U50" s="3">
        <f t="shared" si="16"/>
        <v>-0.54351720115357249</v>
      </c>
      <c r="V50" s="4">
        <f t="shared" si="17"/>
        <v>-20.023773462175104</v>
      </c>
      <c r="W50">
        <f t="shared" si="18"/>
        <v>-0.49140429258459162</v>
      </c>
    </row>
    <row r="51" spans="1:23" x14ac:dyDescent="0.25">
      <c r="A51">
        <v>0.9</v>
      </c>
      <c r="B51">
        <v>-0.51523955628278773</v>
      </c>
      <c r="D51">
        <v>39</v>
      </c>
      <c r="E51">
        <f t="shared" si="3"/>
        <v>0.39000000000000018</v>
      </c>
      <c r="F51">
        <f t="shared" si="4"/>
        <v>-0.49140429258459162</v>
      </c>
      <c r="G51" s="3">
        <f t="shared" si="0"/>
        <v>-0.49149296964696698</v>
      </c>
      <c r="H51" s="3">
        <f t="shared" si="5"/>
        <v>201558.60725375378</v>
      </c>
      <c r="I51" s="3">
        <f t="shared" si="6"/>
        <v>-8.8677062375364102E-5</v>
      </c>
      <c r="J51" s="4">
        <f t="shared" si="7"/>
        <v>-4.2954689723398209E-5</v>
      </c>
      <c r="K51">
        <f t="shared" si="8"/>
        <v>0.39500000000000018</v>
      </c>
      <c r="L51">
        <f t="shared" si="9"/>
        <v>-0.49142125968703237</v>
      </c>
      <c r="M51">
        <f t="shared" si="1"/>
        <v>-0.44266740663365783</v>
      </c>
      <c r="N51" s="3">
        <f t="shared" si="10"/>
        <v>201558.42248200823</v>
      </c>
      <c r="O51" s="3">
        <f t="shared" si="11"/>
        <v>4.8753853053374541E-2</v>
      </c>
      <c r="P51" s="4">
        <f t="shared" si="12"/>
        <v>0.55374198589569013</v>
      </c>
      <c r="Q51">
        <f t="shared" si="13"/>
        <v>0.40000000000000019</v>
      </c>
      <c r="R51">
        <f t="shared" si="14"/>
        <v>-0.48032902331978061</v>
      </c>
      <c r="S51">
        <f t="shared" si="2"/>
        <v>-0.39384184362034846</v>
      </c>
      <c r="T51" s="3">
        <f t="shared" si="15"/>
        <v>201679.2169360476</v>
      </c>
      <c r="U51" s="3">
        <f t="shared" si="16"/>
        <v>8.6487179699432148E-2</v>
      </c>
      <c r="V51" s="4">
        <f t="shared" si="17"/>
        <v>1.3075594534734944</v>
      </c>
      <c r="W51">
        <f t="shared" si="18"/>
        <v>-0.4950118832926661</v>
      </c>
    </row>
    <row r="52" spans="1:23" x14ac:dyDescent="0.25">
      <c r="A52">
        <v>0.92500000000000004</v>
      </c>
      <c r="B52">
        <v>-0.26056570641092713</v>
      </c>
      <c r="D52">
        <v>40</v>
      </c>
      <c r="E52">
        <f t="shared" si="3"/>
        <v>0.40000000000000019</v>
      </c>
      <c r="F52">
        <f t="shared" si="4"/>
        <v>-0.4950118832926661</v>
      </c>
      <c r="G52" s="3">
        <f t="shared" si="0"/>
        <v>-0.39384184362034846</v>
      </c>
      <c r="H52" s="3">
        <f t="shared" si="5"/>
        <v>201519.32059094287</v>
      </c>
      <c r="I52" s="3">
        <f t="shared" si="6"/>
        <v>0.10117003967231764</v>
      </c>
      <c r="J52" s="4">
        <f t="shared" si="7"/>
        <v>1.6556029008448436</v>
      </c>
      <c r="K52">
        <f t="shared" si="8"/>
        <v>0.40500000000000019</v>
      </c>
      <c r="L52">
        <f t="shared" si="9"/>
        <v>0.17550729154949585</v>
      </c>
      <c r="M52">
        <f t="shared" si="1"/>
        <v>-0.33785195131391588</v>
      </c>
      <c r="N52" s="3">
        <f t="shared" si="10"/>
        <v>208821.27440497401</v>
      </c>
      <c r="O52" s="3">
        <f t="shared" si="11"/>
        <v>-0.51335924286341172</v>
      </c>
      <c r="P52" s="4">
        <f t="shared" si="12"/>
        <v>-18.262167646996087</v>
      </c>
      <c r="Q52">
        <f t="shared" si="13"/>
        <v>0.4100000000000002</v>
      </c>
      <c r="R52">
        <f t="shared" si="14"/>
        <v>-0.87681126524103625</v>
      </c>
      <c r="S52">
        <f t="shared" si="2"/>
        <v>-0.28186205900748329</v>
      </c>
      <c r="T52" s="3">
        <f t="shared" si="15"/>
        <v>197361.52532152511</v>
      </c>
      <c r="U52" s="3">
        <f t="shared" si="16"/>
        <v>0.59494920623355296</v>
      </c>
      <c r="V52" s="4">
        <f t="shared" si="17"/>
        <v>24.107508563951818</v>
      </c>
      <c r="W52">
        <f t="shared" si="18"/>
        <v>-0.49497466156502995</v>
      </c>
    </row>
    <row r="53" spans="1:23" x14ac:dyDescent="0.25">
      <c r="A53">
        <v>0.95</v>
      </c>
      <c r="B53">
        <v>1.7258302541059645E-2</v>
      </c>
      <c r="E53">
        <f t="shared" ref="E53:E116" si="19">E52+$J$8</f>
        <v>0.4100000000000002</v>
      </c>
      <c r="F53">
        <f t="shared" ref="F53:F116" si="20">W52</f>
        <v>-0.49497466156502995</v>
      </c>
      <c r="G53" s="3">
        <f t="shared" ref="G53:G116" si="21">LinInt(E53,$A$15:$A$415,$B$15:$B$415,TRUE)</f>
        <v>-0.28186205900748329</v>
      </c>
      <c r="H53" s="3">
        <f t="shared" ref="H53:H116" si="22">LinInt(F53,$A$9:$A$11,$C$9:$C$11,TRUE)</f>
        <v>201519.72593555681</v>
      </c>
      <c r="I53" s="3">
        <f t="shared" ref="I53:I116" si="23">G53-F53</f>
        <v>0.21311260255754666</v>
      </c>
      <c r="J53" s="4">
        <f t="shared" ref="J53:J116" si="24">(($B$2*$B$3*((ABS(I53))^1.5)*IF(I53&lt;=0,-1,1)+$B$4)*$K$3)/H53</f>
        <v>5.0616384885681009</v>
      </c>
      <c r="K53">
        <f t="shared" ref="K53:K116" si="25">E53+$J$8/2</f>
        <v>0.4150000000000002</v>
      </c>
      <c r="L53">
        <f t="shared" ref="L53:L116" si="26">F53+J53*K53</f>
        <v>1.6056053111907329</v>
      </c>
      <c r="M53">
        <f t="shared" ref="M53:M116" si="27">LinInt(K53,$A$15:$A$415,$B$15:$B$415,TRUE)</f>
        <v>-0.22587216670105068</v>
      </c>
      <c r="N53" s="3">
        <f t="shared" ref="N53:N116" si="28">LinInt(L53,$A$9:$A$11,$C$9:$C$11,TRUE)</f>
        <v>224395.0418388671</v>
      </c>
      <c r="O53" s="3">
        <f t="shared" ref="O53:O116" si="29">M53-L53</f>
        <v>-1.8314774778917835</v>
      </c>
      <c r="P53" s="4">
        <f t="shared" ref="P53:P116" si="30">(($B$2*$B$3*((ABS(O53))^1.5)*IF(O53&lt;=0,-1,1)+$B$4)*$K$3)/N53</f>
        <v>-114.52072941072539</v>
      </c>
      <c r="Q53">
        <f t="shared" ref="Q53:Q116" si="31">E53+$J$8</f>
        <v>0.42000000000000021</v>
      </c>
      <c r="R53">
        <f t="shared" ref="R53:R116" si="32">F53-J53*$J$8+2*P53*$J$8</f>
        <v>-2.8360056346652192</v>
      </c>
      <c r="S53">
        <f t="shared" ref="S53:S116" si="33">LinInt(Q53,$A$15:$A$415,$B$15:$B$415,TRUE)</f>
        <v>-0.16988227439461806</v>
      </c>
      <c r="T53" s="3">
        <f t="shared" ref="T53:T116" si="34">LinInt(R53,$A$9:$A$11,$C$9:$C$11,TRUE)</f>
        <v>176025.89863849577</v>
      </c>
      <c r="U53" s="3">
        <f t="shared" ref="U53:U116" si="35">S53-R53</f>
        <v>2.6661233602706012</v>
      </c>
      <c r="V53" s="4">
        <f t="shared" ref="V53:V116" si="36">(($B$2*$B$3*((ABS(U53))^1.5)*IF(U53&lt;=0,-1,1)+$B$4)*$K$3)/T53</f>
        <v>256.41225531832742</v>
      </c>
      <c r="W53">
        <f t="shared" ref="W53:W116" si="37">F53+(1/6)*(J53+4*M53+S53)*$J$8</f>
        <v>-0.48832754898608116</v>
      </c>
    </row>
    <row r="54" spans="1:23" x14ac:dyDescent="0.25">
      <c r="A54">
        <v>0.97499999999999998</v>
      </c>
      <c r="B54">
        <v>0.29241217516822959</v>
      </c>
      <c r="E54">
        <f t="shared" si="19"/>
        <v>0.42000000000000021</v>
      </c>
      <c r="F54">
        <f t="shared" si="20"/>
        <v>-0.48832754898608116</v>
      </c>
      <c r="G54" s="3">
        <f t="shared" si="21"/>
        <v>-0.16988227439461806</v>
      </c>
      <c r="H54" s="3">
        <f t="shared" si="22"/>
        <v>201592.11299154157</v>
      </c>
      <c r="I54" s="3">
        <f t="shared" si="23"/>
        <v>0.3184452745914631</v>
      </c>
      <c r="J54" s="4">
        <f t="shared" si="24"/>
        <v>9.242163873203495</v>
      </c>
      <c r="K54">
        <f t="shared" si="25"/>
        <v>0.42500000000000021</v>
      </c>
      <c r="L54">
        <f t="shared" si="26"/>
        <v>3.4395920971254061</v>
      </c>
      <c r="M54">
        <f t="shared" si="27"/>
        <v>-0.11389238208818538</v>
      </c>
      <c r="N54" s="3">
        <f t="shared" si="28"/>
        <v>244367.15793769568</v>
      </c>
      <c r="O54" s="3">
        <f t="shared" si="29"/>
        <v>-3.5534844792135916</v>
      </c>
      <c r="P54" s="4">
        <f t="shared" si="30"/>
        <v>-284.20635514636109</v>
      </c>
      <c r="Q54">
        <f t="shared" si="31"/>
        <v>0.43000000000000022</v>
      </c>
      <c r="R54">
        <f t="shared" si="32"/>
        <v>-6.2648762906453381</v>
      </c>
      <c r="S54">
        <f t="shared" si="33"/>
        <v>-5.5954208393140172E-2</v>
      </c>
      <c r="T54" s="3">
        <f t="shared" si="34"/>
        <v>138685.49719487227</v>
      </c>
      <c r="U54" s="3">
        <f t="shared" si="35"/>
        <v>6.2089220822521982</v>
      </c>
      <c r="V54" s="4">
        <f t="shared" si="36"/>
        <v>1156.6134954364577</v>
      </c>
      <c r="W54">
        <f t="shared" si="37"/>
        <v>-0.47377648209198514</v>
      </c>
    </row>
    <row r="55" spans="1:23" x14ac:dyDescent="0.25">
      <c r="A55">
        <v>1</v>
      </c>
      <c r="B55">
        <v>0.53942664909606153</v>
      </c>
      <c r="E55">
        <f t="shared" si="19"/>
        <v>0.43000000000000022</v>
      </c>
      <c r="F55">
        <f t="shared" si="20"/>
        <v>-0.47377648209198514</v>
      </c>
      <c r="G55" s="3">
        <f t="shared" si="21"/>
        <v>-5.5954208393140172E-2</v>
      </c>
      <c r="H55" s="3">
        <f t="shared" si="22"/>
        <v>201750.57411001829</v>
      </c>
      <c r="I55" s="3">
        <f t="shared" si="23"/>
        <v>0.41782227369884495</v>
      </c>
      <c r="J55" s="4">
        <f t="shared" si="24"/>
        <v>13.879300904201939</v>
      </c>
      <c r="K55">
        <f t="shared" si="25"/>
        <v>0.43500000000000022</v>
      </c>
      <c r="L55">
        <f t="shared" si="26"/>
        <v>5.5637194112358612</v>
      </c>
      <c r="M55">
        <f t="shared" si="27"/>
        <v>1.9839653019050247E-3</v>
      </c>
      <c r="N55" s="3">
        <f t="shared" si="28"/>
        <v>267498.90438835853</v>
      </c>
      <c r="O55" s="3">
        <f t="shared" si="29"/>
        <v>-5.5617354459339561</v>
      </c>
      <c r="P55" s="4">
        <f t="shared" si="30"/>
        <v>-508.38001716073404</v>
      </c>
      <c r="Q55">
        <f t="shared" si="31"/>
        <v>0.44000000000000022</v>
      </c>
      <c r="R55">
        <f t="shared" si="32"/>
        <v>-10.780169834348687</v>
      </c>
      <c r="S55">
        <f t="shared" si="33"/>
        <v>5.9922138996950224E-2</v>
      </c>
      <c r="T55" s="3">
        <f t="shared" si="34"/>
        <v>9348.4856958314085</v>
      </c>
      <c r="U55" s="3">
        <f t="shared" si="35"/>
        <v>10.840091973345638</v>
      </c>
      <c r="V55" s="4">
        <f t="shared" si="36"/>
        <v>39582.495511334877</v>
      </c>
      <c r="W55">
        <f t="shared" si="37"/>
        <v>-0.45053121725130763</v>
      </c>
    </row>
    <row r="56" spans="1:23" x14ac:dyDescent="0.25">
      <c r="A56">
        <v>1.0249999999999999</v>
      </c>
      <c r="B56">
        <v>0.7355427007491413</v>
      </c>
      <c r="E56">
        <f t="shared" si="19"/>
        <v>0.44000000000000022</v>
      </c>
      <c r="F56">
        <f t="shared" si="20"/>
        <v>-0.45053121725130763</v>
      </c>
      <c r="G56" s="3">
        <f t="shared" si="21"/>
        <v>5.9922138996950224E-2</v>
      </c>
      <c r="H56" s="3">
        <f t="shared" si="22"/>
        <v>202003.71504413325</v>
      </c>
      <c r="I56" s="3">
        <f t="shared" si="23"/>
        <v>0.51045335624825783</v>
      </c>
      <c r="J56" s="4">
        <f t="shared" si="24"/>
        <v>18.718443263404673</v>
      </c>
      <c r="K56">
        <f t="shared" si="25"/>
        <v>0.44500000000000023</v>
      </c>
      <c r="L56">
        <f t="shared" si="26"/>
        <v>7.8791760349637761</v>
      </c>
      <c r="M56">
        <f t="shared" si="27"/>
        <v>0.11786031269199541</v>
      </c>
      <c r="N56" s="3">
        <f t="shared" si="28"/>
        <v>292714.22702075553</v>
      </c>
      <c r="O56" s="3">
        <f t="shared" si="29"/>
        <v>-7.7613157222717808</v>
      </c>
      <c r="P56" s="4">
        <f t="shared" si="30"/>
        <v>-765.86845667562761</v>
      </c>
      <c r="Q56">
        <f t="shared" si="31"/>
        <v>0.45000000000000023</v>
      </c>
      <c r="R56">
        <f t="shared" si="32"/>
        <v>-15.955084783397908</v>
      </c>
      <c r="S56">
        <f t="shared" si="33"/>
        <v>0.17579848638704046</v>
      </c>
      <c r="T56" s="3">
        <f t="shared" si="34"/>
        <v>-156749.94233196738</v>
      </c>
      <c r="U56" s="3">
        <f t="shared" si="35"/>
        <v>16.130883269784949</v>
      </c>
      <c r="V56" s="4">
        <f t="shared" si="36"/>
        <v>-4285.2367573489155</v>
      </c>
      <c r="W56">
        <f t="shared" si="37"/>
        <v>-0.41825507891704145</v>
      </c>
    </row>
    <row r="57" spans="1:23" x14ac:dyDescent="0.25">
      <c r="A57">
        <v>1.05</v>
      </c>
      <c r="B57">
        <v>0.86280949859319978</v>
      </c>
      <c r="E57">
        <f t="shared" si="19"/>
        <v>0.45000000000000023</v>
      </c>
      <c r="F57">
        <f t="shared" si="20"/>
        <v>-0.41825507891704145</v>
      </c>
      <c r="G57" s="3">
        <f t="shared" si="21"/>
        <v>0.17579848638704046</v>
      </c>
      <c r="H57" s="3">
        <f t="shared" si="22"/>
        <v>202355.20219059341</v>
      </c>
      <c r="I57" s="3">
        <f t="shared" si="23"/>
        <v>0.59405356530408193</v>
      </c>
      <c r="J57" s="4">
        <f t="shared" si="24"/>
        <v>23.459514755872657</v>
      </c>
      <c r="K57">
        <f t="shared" si="25"/>
        <v>0.45500000000000024</v>
      </c>
      <c r="L57">
        <f t="shared" si="26"/>
        <v>10.255824135005023</v>
      </c>
      <c r="M57">
        <f t="shared" si="27"/>
        <v>0.23030391072328291</v>
      </c>
      <c r="N57" s="3">
        <f t="shared" si="28"/>
        <v>318595.92483020469</v>
      </c>
      <c r="O57" s="3">
        <f t="shared" si="29"/>
        <v>-10.02552022428174</v>
      </c>
      <c r="P57" s="4">
        <f t="shared" si="30"/>
        <v>-1033.0352669719623</v>
      </c>
      <c r="Q57">
        <f t="shared" si="31"/>
        <v>0.46000000000000024</v>
      </c>
      <c r="R57">
        <f t="shared" si="32"/>
        <v>-21.313555565915014</v>
      </c>
      <c r="S57">
        <f t="shared" si="33"/>
        <v>0.28480933505952533</v>
      </c>
      <c r="T57" s="3">
        <f t="shared" si="34"/>
        <v>-328739.93296408484</v>
      </c>
      <c r="U57" s="3">
        <f t="shared" si="35"/>
        <v>21.598364900974538</v>
      </c>
      <c r="V57" s="4">
        <f t="shared" si="36"/>
        <v>-3165.72975064399</v>
      </c>
      <c r="W57">
        <f t="shared" si="37"/>
        <v>-0.37714584602733259</v>
      </c>
    </row>
    <row r="58" spans="1:23" x14ac:dyDescent="0.25">
      <c r="A58">
        <v>1.075</v>
      </c>
      <c r="B58">
        <v>0.90972761312999828</v>
      </c>
      <c r="E58">
        <f t="shared" si="19"/>
        <v>0.46000000000000024</v>
      </c>
      <c r="F58">
        <f t="shared" si="20"/>
        <v>-0.37714584602733259</v>
      </c>
      <c r="G58" s="3">
        <f t="shared" si="21"/>
        <v>0.28480933505952533</v>
      </c>
      <c r="H58" s="3">
        <f t="shared" si="22"/>
        <v>202802.88173676236</v>
      </c>
      <c r="I58" s="3">
        <f t="shared" si="23"/>
        <v>0.66195518108685791</v>
      </c>
      <c r="J58" s="4">
        <f t="shared" si="24"/>
        <v>27.533647323486523</v>
      </c>
      <c r="K58">
        <f t="shared" si="25"/>
        <v>0.46500000000000025</v>
      </c>
      <c r="L58">
        <f t="shared" si="26"/>
        <v>12.426000159393908</v>
      </c>
      <c r="M58">
        <f t="shared" si="27"/>
        <v>0.33931475939576777</v>
      </c>
      <c r="N58" s="3">
        <f t="shared" si="28"/>
        <v>342229.14173579967</v>
      </c>
      <c r="O58" s="3">
        <f t="shared" si="29"/>
        <v>-12.086685399998141</v>
      </c>
      <c r="P58" s="4">
        <f t="shared" si="30"/>
        <v>-1273.0305550547048</v>
      </c>
      <c r="Q58">
        <f t="shared" si="31"/>
        <v>0.47000000000000025</v>
      </c>
      <c r="R58">
        <f t="shared" si="32"/>
        <v>-26.113093420356293</v>
      </c>
      <c r="S58">
        <f t="shared" si="33"/>
        <v>0.39382018373201022</v>
      </c>
      <c r="T58" s="3">
        <f t="shared" si="34"/>
        <v>-482789.94165632006</v>
      </c>
      <c r="U58" s="3">
        <f t="shared" si="35"/>
        <v>26.506913604088304</v>
      </c>
      <c r="V58" s="4">
        <f t="shared" si="36"/>
        <v>-2930.7280356296505</v>
      </c>
      <c r="W58">
        <f t="shared" si="37"/>
        <v>-0.32833796845266328</v>
      </c>
    </row>
    <row r="59" spans="1:23" x14ac:dyDescent="0.25">
      <c r="A59">
        <v>1.1000000000000001</v>
      </c>
      <c r="B59">
        <v>0.87228705132655959</v>
      </c>
      <c r="E59">
        <f t="shared" si="19"/>
        <v>0.47000000000000025</v>
      </c>
      <c r="F59">
        <f t="shared" si="20"/>
        <v>-0.32833796845266328</v>
      </c>
      <c r="G59" s="3">
        <f t="shared" si="21"/>
        <v>0.39382018373201022</v>
      </c>
      <c r="H59" s="3">
        <f t="shared" si="22"/>
        <v>203334.3995235505</v>
      </c>
      <c r="I59" s="3">
        <f t="shared" si="23"/>
        <v>0.7221581521846735</v>
      </c>
      <c r="J59" s="4">
        <f t="shared" si="24"/>
        <v>31.291948607033003</v>
      </c>
      <c r="K59">
        <f t="shared" si="25"/>
        <v>0.47500000000000026</v>
      </c>
      <c r="L59">
        <f t="shared" si="26"/>
        <v>14.535337619888022</v>
      </c>
      <c r="M59">
        <f t="shared" si="27"/>
        <v>0.44832560806825217</v>
      </c>
      <c r="N59" s="3">
        <f t="shared" si="28"/>
        <v>365199.82668058056</v>
      </c>
      <c r="O59" s="3">
        <f t="shared" si="29"/>
        <v>-14.08701201181977</v>
      </c>
      <c r="P59" s="4">
        <f t="shared" si="30"/>
        <v>-1501.041685262142</v>
      </c>
      <c r="Q59">
        <f t="shared" si="31"/>
        <v>0.48000000000000026</v>
      </c>
      <c r="R59">
        <f t="shared" si="32"/>
        <v>-30.662091159765833</v>
      </c>
      <c r="S59">
        <f t="shared" si="33"/>
        <v>0.49435245764390701</v>
      </c>
      <c r="T59" s="3">
        <f t="shared" si="34"/>
        <v>-628798.40383534716</v>
      </c>
      <c r="U59" s="3">
        <f t="shared" si="35"/>
        <v>31.156443617409739</v>
      </c>
      <c r="V59" s="4">
        <f t="shared" si="36"/>
        <v>-2867.5128728707409</v>
      </c>
      <c r="W59">
        <f t="shared" si="37"/>
        <v>-0.27237196262441343</v>
      </c>
    </row>
    <row r="60" spans="1:23" x14ac:dyDescent="0.25">
      <c r="A60">
        <v>1.125</v>
      </c>
      <c r="B60">
        <v>0.75430651465533971</v>
      </c>
      <c r="E60">
        <f t="shared" si="19"/>
        <v>0.48000000000000026</v>
      </c>
      <c r="F60">
        <f t="shared" si="20"/>
        <v>-0.27237196262441343</v>
      </c>
      <c r="G60" s="3">
        <f t="shared" si="21"/>
        <v>0.49435245764390701</v>
      </c>
      <c r="H60" s="3">
        <f t="shared" si="22"/>
        <v>203943.86932702013</v>
      </c>
      <c r="I60" s="3">
        <f t="shared" si="23"/>
        <v>0.76672442026832044</v>
      </c>
      <c r="J60" s="4">
        <f t="shared" si="24"/>
        <v>34.13054927112362</v>
      </c>
      <c r="K60">
        <f t="shared" si="25"/>
        <v>0.48500000000000026</v>
      </c>
      <c r="L60">
        <f t="shared" si="26"/>
        <v>16.280944433870552</v>
      </c>
      <c r="M60">
        <f t="shared" si="27"/>
        <v>0.54037930721956184</v>
      </c>
      <c r="N60" s="3">
        <f t="shared" si="28"/>
        <v>384209.48488485033</v>
      </c>
      <c r="O60" s="3">
        <f t="shared" si="29"/>
        <v>-15.74056512665099</v>
      </c>
      <c r="P60" s="4">
        <f t="shared" si="30"/>
        <v>-1685.2230375013089</v>
      </c>
      <c r="Q60">
        <f t="shared" si="31"/>
        <v>0.49000000000000027</v>
      </c>
      <c r="R60">
        <f t="shared" si="32"/>
        <v>-34.318138205361826</v>
      </c>
      <c r="S60">
        <f t="shared" si="33"/>
        <v>0.58640615679521668</v>
      </c>
      <c r="T60" s="3">
        <f t="shared" si="34"/>
        <v>-746145.96858725557</v>
      </c>
      <c r="U60" s="3">
        <f t="shared" si="35"/>
        <v>34.90454436215704</v>
      </c>
      <c r="V60" s="4">
        <f t="shared" si="36"/>
        <v>-2865.4586875593991</v>
      </c>
      <c r="W60">
        <f t="shared" si="37"/>
        <v>-0.21090784152975162</v>
      </c>
    </row>
    <row r="61" spans="1:23" x14ac:dyDescent="0.25">
      <c r="A61">
        <v>1.1499999999999999</v>
      </c>
      <c r="B61">
        <v>0.56704554152207187</v>
      </c>
      <c r="E61">
        <f t="shared" si="19"/>
        <v>0.49000000000000027</v>
      </c>
      <c r="F61">
        <f t="shared" si="20"/>
        <v>-0.21090784152975162</v>
      </c>
      <c r="G61" s="3">
        <f t="shared" si="21"/>
        <v>0.58640615679521668</v>
      </c>
      <c r="H61" s="3">
        <f t="shared" si="22"/>
        <v>204613.21360574101</v>
      </c>
      <c r="I61" s="3">
        <f t="shared" si="23"/>
        <v>0.7973139983249683</v>
      </c>
      <c r="J61" s="4">
        <f t="shared" si="24"/>
        <v>36.074921579255864</v>
      </c>
      <c r="K61">
        <f t="shared" si="25"/>
        <v>0.49500000000000027</v>
      </c>
      <c r="L61">
        <f t="shared" si="26"/>
        <v>17.64617834020191</v>
      </c>
      <c r="M61">
        <f t="shared" si="27"/>
        <v>0.63243300637087152</v>
      </c>
      <c r="N61" s="3">
        <f t="shared" si="28"/>
        <v>399076.88212479878</v>
      </c>
      <c r="O61" s="3">
        <f t="shared" si="29"/>
        <v>-17.013745333831039</v>
      </c>
      <c r="P61" s="4">
        <f t="shared" si="30"/>
        <v>-1823.2167824710159</v>
      </c>
      <c r="Q61">
        <f t="shared" si="31"/>
        <v>0.50000000000000022</v>
      </c>
      <c r="R61">
        <f t="shared" si="32"/>
        <v>-37.035992706742633</v>
      </c>
      <c r="S61">
        <f t="shared" si="33"/>
        <v>0.67845985594652525</v>
      </c>
      <c r="T61" s="3">
        <f t="shared" si="34"/>
        <v>-833380.51538315404</v>
      </c>
      <c r="U61" s="3">
        <f t="shared" si="35"/>
        <v>37.714452562689161</v>
      </c>
      <c r="V61" s="4">
        <f t="shared" si="36"/>
        <v>-2881.465064352547</v>
      </c>
      <c r="W61">
        <f t="shared" si="37"/>
        <v>-0.14543598576194183</v>
      </c>
    </row>
    <row r="62" spans="1:23" x14ac:dyDescent="0.25">
      <c r="A62">
        <v>1.175</v>
      </c>
      <c r="B62">
        <v>0.32812878531305528</v>
      </c>
      <c r="E62">
        <f t="shared" si="19"/>
        <v>0.50000000000000022</v>
      </c>
      <c r="F62">
        <f t="shared" si="20"/>
        <v>-0.14543598576194183</v>
      </c>
      <c r="G62" s="3">
        <f t="shared" si="21"/>
        <v>0.67845985594652525</v>
      </c>
      <c r="H62" s="3">
        <f t="shared" si="22"/>
        <v>205326.20211505247</v>
      </c>
      <c r="I62" s="3">
        <f t="shared" si="23"/>
        <v>0.82389584170846708</v>
      </c>
      <c r="J62" s="4">
        <f t="shared" si="24"/>
        <v>37.762355877499594</v>
      </c>
      <c r="K62">
        <f t="shared" si="25"/>
        <v>0.50500000000000023</v>
      </c>
      <c r="L62">
        <f t="shared" si="26"/>
        <v>18.924553732375362</v>
      </c>
      <c r="M62">
        <f t="shared" si="27"/>
        <v>0.71176496126448496</v>
      </c>
      <c r="N62" s="3">
        <f t="shared" si="28"/>
        <v>412998.39014556771</v>
      </c>
      <c r="O62" s="3">
        <f t="shared" si="29"/>
        <v>-18.212788771110876</v>
      </c>
      <c r="P62" s="4">
        <f t="shared" si="30"/>
        <v>-1951.2427654360918</v>
      </c>
      <c r="Q62">
        <f t="shared" si="31"/>
        <v>0.51000000000000023</v>
      </c>
      <c r="R62">
        <f t="shared" si="32"/>
        <v>-39.547914853258767</v>
      </c>
      <c r="S62">
        <f t="shared" si="33"/>
        <v>0.74507006658244457</v>
      </c>
      <c r="T62" s="3">
        <f t="shared" si="34"/>
        <v>-914005.28390059609</v>
      </c>
      <c r="U62" s="3">
        <f t="shared" si="35"/>
        <v>40.29298491984121</v>
      </c>
      <c r="V62" s="4">
        <f t="shared" si="36"/>
        <v>-2901.2853432190673</v>
      </c>
      <c r="W62">
        <f t="shared" si="37"/>
        <v>-7.6511842780041875E-2</v>
      </c>
    </row>
    <row r="63" spans="1:23" x14ac:dyDescent="0.25">
      <c r="A63">
        <v>1.2</v>
      </c>
      <c r="B63">
        <v>5.988531008843001E-2</v>
      </c>
      <c r="E63">
        <f t="shared" si="19"/>
        <v>0.51000000000000023</v>
      </c>
      <c r="F63">
        <f t="shared" si="20"/>
        <v>-7.6511842780041875E-2</v>
      </c>
      <c r="G63" s="3">
        <f t="shared" si="21"/>
        <v>0.74507006658244457</v>
      </c>
      <c r="H63" s="3">
        <f t="shared" si="22"/>
        <v>206076.78603212535</v>
      </c>
      <c r="I63" s="3">
        <f t="shared" si="23"/>
        <v>0.82158190936248643</v>
      </c>
      <c r="J63" s="4">
        <f t="shared" si="24"/>
        <v>37.466421771685994</v>
      </c>
      <c r="K63">
        <f t="shared" si="25"/>
        <v>0.51500000000000024</v>
      </c>
      <c r="L63">
        <f t="shared" si="26"/>
        <v>19.218695369638251</v>
      </c>
      <c r="M63">
        <f t="shared" si="27"/>
        <v>0.77837517190040428</v>
      </c>
      <c r="N63" s="3">
        <f t="shared" si="28"/>
        <v>416201.59257536056</v>
      </c>
      <c r="O63" s="3">
        <f t="shared" si="29"/>
        <v>-18.440320197737847</v>
      </c>
      <c r="P63" s="4">
        <f t="shared" si="30"/>
        <v>-1972.6222965692023</v>
      </c>
      <c r="Q63">
        <f t="shared" si="31"/>
        <v>0.52000000000000024</v>
      </c>
      <c r="R63">
        <f t="shared" si="32"/>
        <v>-39.903621991880946</v>
      </c>
      <c r="S63">
        <f t="shared" si="33"/>
        <v>0.81168027721836389</v>
      </c>
      <c r="T63" s="3">
        <f t="shared" si="34"/>
        <v>-925422.35976466723</v>
      </c>
      <c r="U63" s="3">
        <f t="shared" si="35"/>
        <v>40.715302269099311</v>
      </c>
      <c r="V63" s="4">
        <f t="shared" si="36"/>
        <v>-2910.6601162514048</v>
      </c>
      <c r="W63">
        <f t="shared" si="37"/>
        <v>-7.5258382191985829E-3</v>
      </c>
    </row>
    <row r="64" spans="1:23" x14ac:dyDescent="0.25">
      <c r="A64">
        <v>1.2250000000000001</v>
      </c>
      <c r="B64">
        <v>-0.21274043309473062</v>
      </c>
      <c r="E64">
        <f t="shared" si="19"/>
        <v>0.52000000000000024</v>
      </c>
      <c r="F64">
        <f t="shared" si="20"/>
        <v>-7.5258382191985829E-3</v>
      </c>
      <c r="G64" s="3">
        <f t="shared" si="21"/>
        <v>0.81168027721836389</v>
      </c>
      <c r="H64" s="3">
        <f t="shared" si="22"/>
        <v>206828.04362179292</v>
      </c>
      <c r="I64" s="3">
        <f t="shared" si="23"/>
        <v>0.8192061154375625</v>
      </c>
      <c r="J64" s="4">
        <f t="shared" si="24"/>
        <v>37.168526387409493</v>
      </c>
      <c r="K64">
        <f t="shared" si="25"/>
        <v>0.52500000000000024</v>
      </c>
      <c r="L64">
        <f t="shared" si="26"/>
        <v>19.505950515170795</v>
      </c>
      <c r="M64">
        <f t="shared" si="27"/>
        <v>0.84498538253632283</v>
      </c>
      <c r="N64" s="3">
        <f t="shared" si="28"/>
        <v>419329.80111020996</v>
      </c>
      <c r="O64" s="3">
        <f t="shared" si="29"/>
        <v>-18.660965132634473</v>
      </c>
      <c r="P64" s="4">
        <f t="shared" si="30"/>
        <v>-1993.1519668212613</v>
      </c>
      <c r="Q64">
        <f t="shared" si="31"/>
        <v>0.53000000000000025</v>
      </c>
      <c r="R64">
        <f t="shared" si="32"/>
        <v>-40.242250438518518</v>
      </c>
      <c r="S64">
        <f t="shared" si="33"/>
        <v>0.86251960548011508</v>
      </c>
      <c r="T64" s="3">
        <f t="shared" si="34"/>
        <v>-936291.26354874379</v>
      </c>
      <c r="U64" s="3">
        <f t="shared" si="35"/>
        <v>41.104770043998634</v>
      </c>
      <c r="V64" s="4">
        <f t="shared" si="36"/>
        <v>-2918.2490437815954</v>
      </c>
      <c r="W64">
        <f t="shared" si="37"/>
        <v>6.1492474319192914E-2</v>
      </c>
    </row>
    <row r="65" spans="1:23" x14ac:dyDescent="0.25">
      <c r="A65">
        <v>1.25</v>
      </c>
      <c r="B65">
        <v>-0.46451030133261062</v>
      </c>
      <c r="E65">
        <f t="shared" si="19"/>
        <v>0.53000000000000025</v>
      </c>
      <c r="F65">
        <f t="shared" si="20"/>
        <v>6.1492474319192914E-2</v>
      </c>
      <c r="G65" s="3">
        <f t="shared" si="21"/>
        <v>0.86251960548011508</v>
      </c>
      <c r="H65" s="3">
        <f t="shared" si="22"/>
        <v>207579.65304533602</v>
      </c>
      <c r="I65" s="3">
        <f t="shared" si="23"/>
        <v>0.80102713116092217</v>
      </c>
      <c r="J65" s="4">
        <f t="shared" si="24"/>
        <v>35.808080891774381</v>
      </c>
      <c r="K65">
        <f t="shared" si="25"/>
        <v>0.53500000000000025</v>
      </c>
      <c r="L65">
        <f t="shared" si="26"/>
        <v>19.218815751418493</v>
      </c>
      <c r="M65">
        <f t="shared" si="27"/>
        <v>0.88005382842390734</v>
      </c>
      <c r="N65" s="3">
        <f t="shared" si="28"/>
        <v>416202.90353294741</v>
      </c>
      <c r="O65" s="3">
        <f t="shared" si="29"/>
        <v>-18.338761922994586</v>
      </c>
      <c r="P65" s="4">
        <f t="shared" si="30"/>
        <v>-1956.3425533798893</v>
      </c>
      <c r="Q65">
        <f t="shared" si="31"/>
        <v>0.54000000000000026</v>
      </c>
      <c r="R65">
        <f t="shared" si="32"/>
        <v>-39.423439402196337</v>
      </c>
      <c r="S65">
        <f t="shared" si="33"/>
        <v>0.89758805136769959</v>
      </c>
      <c r="T65" s="3">
        <f t="shared" si="34"/>
        <v>-910010.01500186394</v>
      </c>
      <c r="U65" s="3">
        <f t="shared" si="35"/>
        <v>40.321027453564035</v>
      </c>
      <c r="V65" s="4">
        <f t="shared" si="36"/>
        <v>-2917.0656409802805</v>
      </c>
      <c r="W65">
        <f t="shared" si="37"/>
        <v>0.12853561474725578</v>
      </c>
    </row>
    <row r="66" spans="1:23" x14ac:dyDescent="0.25">
      <c r="A66">
        <v>1.2749999999999999</v>
      </c>
      <c r="B66">
        <v>-0.67223053689543755</v>
      </c>
      <c r="E66">
        <f t="shared" si="19"/>
        <v>0.54000000000000026</v>
      </c>
      <c r="F66">
        <f t="shared" si="20"/>
        <v>0.12853561474725578</v>
      </c>
      <c r="G66" s="3">
        <f t="shared" si="21"/>
        <v>0.89758805136769959</v>
      </c>
      <c r="H66" s="3">
        <f t="shared" si="22"/>
        <v>208309.75284459762</v>
      </c>
      <c r="I66" s="3">
        <f t="shared" si="23"/>
        <v>0.76905243662044387</v>
      </c>
      <c r="J66" s="4">
        <f t="shared" si="24"/>
        <v>33.567524427203878</v>
      </c>
      <c r="K66">
        <f t="shared" si="25"/>
        <v>0.54500000000000026</v>
      </c>
      <c r="L66">
        <f t="shared" si="26"/>
        <v>18.42283642757338</v>
      </c>
      <c r="M66">
        <f t="shared" si="27"/>
        <v>0.91512227431149185</v>
      </c>
      <c r="N66" s="3">
        <f t="shared" si="28"/>
        <v>407534.68869627413</v>
      </c>
      <c r="O66" s="3">
        <f t="shared" si="29"/>
        <v>-17.507714153261887</v>
      </c>
      <c r="P66" s="4">
        <f t="shared" si="30"/>
        <v>-1863.6938771068976</v>
      </c>
      <c r="Q66">
        <f t="shared" si="31"/>
        <v>0.55000000000000027</v>
      </c>
      <c r="R66">
        <f t="shared" si="32"/>
        <v>-37.481017171662735</v>
      </c>
      <c r="S66">
        <f t="shared" si="33"/>
        <v>0.93265649725528332</v>
      </c>
      <c r="T66" s="3">
        <f t="shared" si="34"/>
        <v>-847664.39536667382</v>
      </c>
      <c r="U66" s="3">
        <f t="shared" si="35"/>
        <v>38.413673668918015</v>
      </c>
      <c r="V66" s="4">
        <f t="shared" si="36"/>
        <v>-2912.0565923749464</v>
      </c>
      <c r="W66">
        <f t="shared" si="37"/>
        <v>0.19213673145009763</v>
      </c>
    </row>
    <row r="67" spans="1:23" x14ac:dyDescent="0.25">
      <c r="A67">
        <v>1.3</v>
      </c>
      <c r="B67">
        <v>-0.8168894635008086</v>
      </c>
      <c r="E67">
        <f t="shared" si="19"/>
        <v>0.55000000000000027</v>
      </c>
      <c r="F67">
        <f t="shared" si="20"/>
        <v>0.19213673145009763</v>
      </c>
      <c r="G67" s="3">
        <f t="shared" si="21"/>
        <v>0.93265649725528332</v>
      </c>
      <c r="H67" s="3">
        <f t="shared" si="22"/>
        <v>209002.36900549155</v>
      </c>
      <c r="I67" s="3">
        <f t="shared" si="23"/>
        <v>0.74051976580518564</v>
      </c>
      <c r="J67" s="4">
        <f t="shared" si="24"/>
        <v>31.611766284388118</v>
      </c>
      <c r="K67">
        <f t="shared" si="25"/>
        <v>0.55500000000000027</v>
      </c>
      <c r="L67">
        <f t="shared" si="26"/>
        <v>17.736667019285512</v>
      </c>
      <c r="M67">
        <f t="shared" si="27"/>
        <v>0.93284391274523248</v>
      </c>
      <c r="N67" s="3">
        <f t="shared" si="28"/>
        <v>400062.30384001922</v>
      </c>
      <c r="O67" s="3">
        <f t="shared" si="29"/>
        <v>-16.803823106540278</v>
      </c>
      <c r="P67" s="4">
        <f t="shared" si="30"/>
        <v>-1785.1697069062759</v>
      </c>
      <c r="Q67">
        <f t="shared" si="31"/>
        <v>0.56000000000000028</v>
      </c>
      <c r="R67">
        <f t="shared" si="32"/>
        <v>-35.827375069519299</v>
      </c>
      <c r="S67">
        <f t="shared" si="33"/>
        <v>0.93303132823518153</v>
      </c>
      <c r="T67" s="3">
        <f t="shared" si="34"/>
        <v>-794587.70591556048</v>
      </c>
      <c r="U67" s="3">
        <f t="shared" si="35"/>
        <v>36.76040639775448</v>
      </c>
      <c r="V67" s="4">
        <f t="shared" si="36"/>
        <v>-2908.19553470745</v>
      </c>
      <c r="W67">
        <f t="shared" si="37"/>
        <v>0.25259702022277136</v>
      </c>
    </row>
    <row r="68" spans="1:23" x14ac:dyDescent="0.25">
      <c r="A68">
        <v>1.325</v>
      </c>
      <c r="B68">
        <v>-0.88539767784459222</v>
      </c>
      <c r="E68">
        <f t="shared" si="19"/>
        <v>0.56000000000000028</v>
      </c>
      <c r="F68">
        <f t="shared" si="20"/>
        <v>0.25259702022277136</v>
      </c>
      <c r="G68" s="3">
        <f t="shared" si="21"/>
        <v>0.93303132823518153</v>
      </c>
      <c r="H68" s="3">
        <f t="shared" si="22"/>
        <v>209660.78155022598</v>
      </c>
      <c r="I68" s="3">
        <f t="shared" si="23"/>
        <v>0.68043430801241023</v>
      </c>
      <c r="J68" s="4">
        <f t="shared" si="24"/>
        <v>27.75601366108285</v>
      </c>
      <c r="K68">
        <f t="shared" si="25"/>
        <v>0.56500000000000028</v>
      </c>
      <c r="L68">
        <f t="shared" si="26"/>
        <v>15.934744738734588</v>
      </c>
      <c r="M68">
        <f t="shared" si="27"/>
        <v>0.93321874372513069</v>
      </c>
      <c r="N68" s="3">
        <f t="shared" si="28"/>
        <v>380439.37020481966</v>
      </c>
      <c r="O68" s="3">
        <f t="shared" si="29"/>
        <v>-15.001525995009457</v>
      </c>
      <c r="P68" s="4">
        <f t="shared" si="30"/>
        <v>-1583.4804024593154</v>
      </c>
      <c r="Q68">
        <f t="shared" si="31"/>
        <v>0.57000000000000028</v>
      </c>
      <c r="R68">
        <f t="shared" si="32"/>
        <v>-31.694571165574366</v>
      </c>
      <c r="S68">
        <f t="shared" si="33"/>
        <v>0.93340615921507986</v>
      </c>
      <c r="T68" s="3">
        <f t="shared" si="34"/>
        <v>-661937.75155862479</v>
      </c>
      <c r="U68" s="3">
        <f t="shared" si="35"/>
        <v>32.627977324789448</v>
      </c>
      <c r="V68" s="4">
        <f t="shared" si="36"/>
        <v>-2919.1947266065226</v>
      </c>
      <c r="W68">
        <f t="shared" si="37"/>
        <v>0.30663417821476879</v>
      </c>
    </row>
    <row r="69" spans="1:23" x14ac:dyDescent="0.25">
      <c r="A69">
        <v>1.35</v>
      </c>
      <c r="B69">
        <v>-0.87177143810027147</v>
      </c>
      <c r="E69">
        <f t="shared" si="19"/>
        <v>0.57000000000000028</v>
      </c>
      <c r="F69">
        <f t="shared" si="20"/>
        <v>0.30663417821476879</v>
      </c>
      <c r="G69" s="3">
        <f t="shared" si="21"/>
        <v>0.93340615921507986</v>
      </c>
      <c r="H69" s="3">
        <f t="shared" si="22"/>
        <v>210249.24620075882</v>
      </c>
      <c r="I69" s="3">
        <f t="shared" si="23"/>
        <v>0.62677198100031106</v>
      </c>
      <c r="J69" s="4">
        <f t="shared" si="24"/>
        <v>24.469489091448345</v>
      </c>
      <c r="K69">
        <f t="shared" si="25"/>
        <v>0.57500000000000029</v>
      </c>
      <c r="L69">
        <f t="shared" si="26"/>
        <v>14.376590405797574</v>
      </c>
      <c r="M69">
        <f t="shared" si="27"/>
        <v>0.9335935747050278</v>
      </c>
      <c r="N69" s="3">
        <f t="shared" si="28"/>
        <v>363471.06951913558</v>
      </c>
      <c r="O69" s="3">
        <f t="shared" si="29"/>
        <v>-13.442996831092545</v>
      </c>
      <c r="P69" s="4">
        <f t="shared" si="30"/>
        <v>-1405.9480832805025</v>
      </c>
      <c r="Q69">
        <f t="shared" si="31"/>
        <v>0.58000000000000029</v>
      </c>
      <c r="R69">
        <f t="shared" si="32"/>
        <v>-28.057022378309767</v>
      </c>
      <c r="S69">
        <f t="shared" si="33"/>
        <v>0.91647289369389662</v>
      </c>
      <c r="T69" s="3">
        <f t="shared" si="34"/>
        <v>-545183.92248360149</v>
      </c>
      <c r="U69" s="3">
        <f t="shared" si="35"/>
        <v>28.973495272003664</v>
      </c>
      <c r="V69" s="4">
        <f t="shared" si="36"/>
        <v>-2965.8780097991144</v>
      </c>
      <c r="W69">
        <f t="shared" si="37"/>
        <v>0.35516807202137274</v>
      </c>
    </row>
    <row r="70" spans="1:23" x14ac:dyDescent="0.25">
      <c r="A70">
        <v>1.375</v>
      </c>
      <c r="B70">
        <v>-0.77765236041631758</v>
      </c>
      <c r="E70">
        <f t="shared" si="19"/>
        <v>0.58000000000000029</v>
      </c>
      <c r="F70">
        <f t="shared" si="20"/>
        <v>0.35516807202137274</v>
      </c>
      <c r="G70" s="3">
        <f t="shared" si="21"/>
        <v>0.91647289369389662</v>
      </c>
      <c r="H70" s="3">
        <f t="shared" si="22"/>
        <v>210777.78030431274</v>
      </c>
      <c r="I70" s="3">
        <f t="shared" si="23"/>
        <v>0.56130482167252382</v>
      </c>
      <c r="J70" s="4">
        <f t="shared" si="24"/>
        <v>20.685609467037068</v>
      </c>
      <c r="K70">
        <f t="shared" si="25"/>
        <v>0.5850000000000003</v>
      </c>
      <c r="L70">
        <f t="shared" si="26"/>
        <v>12.456249610238064</v>
      </c>
      <c r="M70">
        <f t="shared" si="27"/>
        <v>0.89935221268276533</v>
      </c>
      <c r="N70" s="3">
        <f t="shared" si="28"/>
        <v>342558.55825549253</v>
      </c>
      <c r="O70" s="3">
        <f t="shared" si="29"/>
        <v>-11.556897397555298</v>
      </c>
      <c r="P70" s="4">
        <f t="shared" si="30"/>
        <v>-1189.110058711515</v>
      </c>
      <c r="Q70">
        <f t="shared" si="31"/>
        <v>0.5900000000000003</v>
      </c>
      <c r="R70">
        <f t="shared" si="32"/>
        <v>-23.633889196879295</v>
      </c>
      <c r="S70">
        <f t="shared" si="33"/>
        <v>0.88223153167163415</v>
      </c>
      <c r="T70" s="3">
        <f t="shared" si="34"/>
        <v>-403215.31514867733</v>
      </c>
      <c r="U70" s="3">
        <f t="shared" si="35"/>
        <v>24.516120728550931</v>
      </c>
      <c r="V70" s="4">
        <f t="shared" si="36"/>
        <v>-3121.3006024260194</v>
      </c>
      <c r="W70">
        <f t="shared" si="37"/>
        <v>0.39711015510377234</v>
      </c>
    </row>
    <row r="71" spans="1:23" x14ac:dyDescent="0.25">
      <c r="A71">
        <v>1.4</v>
      </c>
      <c r="B71">
        <v>-0.61211858865609181</v>
      </c>
      <c r="E71">
        <f t="shared" si="19"/>
        <v>0.5900000000000003</v>
      </c>
      <c r="F71">
        <f t="shared" si="20"/>
        <v>0.39711015510377234</v>
      </c>
      <c r="G71" s="3">
        <f t="shared" si="21"/>
        <v>0.88223153167163415</v>
      </c>
      <c r="H71" s="3">
        <f t="shared" si="22"/>
        <v>211234.52958908008</v>
      </c>
      <c r="I71" s="3">
        <f t="shared" si="23"/>
        <v>0.48512137656786181</v>
      </c>
      <c r="J71" s="4">
        <f t="shared" si="24"/>
        <v>16.584626472967965</v>
      </c>
      <c r="K71">
        <f t="shared" si="25"/>
        <v>0.59500000000000031</v>
      </c>
      <c r="L71">
        <f t="shared" si="26"/>
        <v>10.264962906519717</v>
      </c>
      <c r="M71">
        <f t="shared" si="27"/>
        <v>0.86511085066050297</v>
      </c>
      <c r="N71" s="3">
        <f t="shared" si="28"/>
        <v>318695.44605199969</v>
      </c>
      <c r="O71" s="3">
        <f t="shared" si="29"/>
        <v>-9.3998520558592134</v>
      </c>
      <c r="P71" s="4">
        <f t="shared" si="30"/>
        <v>-937.56342794305158</v>
      </c>
      <c r="Q71">
        <f t="shared" si="31"/>
        <v>0.60000000000000031</v>
      </c>
      <c r="R71">
        <f t="shared" si="32"/>
        <v>-18.520004668486941</v>
      </c>
      <c r="S71">
        <f t="shared" si="33"/>
        <v>0.84799016964937068</v>
      </c>
      <c r="T71" s="3">
        <f t="shared" si="34"/>
        <v>-239075.77089631979</v>
      </c>
      <c r="U71" s="3">
        <f t="shared" si="35"/>
        <v>19.367994838136312</v>
      </c>
      <c r="V71" s="4">
        <f t="shared" si="36"/>
        <v>-3696.4634364349563</v>
      </c>
      <c r="W71">
        <f t="shared" si="37"/>
        <v>0.43193192184587126</v>
      </c>
    </row>
    <row r="72" spans="1:23" x14ac:dyDescent="0.25">
      <c r="A72">
        <v>1.425</v>
      </c>
      <c r="B72">
        <v>-0.39080849370232196</v>
      </c>
      <c r="E72">
        <f t="shared" si="19"/>
        <v>0.60000000000000031</v>
      </c>
      <c r="F72">
        <f t="shared" si="20"/>
        <v>0.43193192184587126</v>
      </c>
      <c r="G72" s="3">
        <f t="shared" si="21"/>
        <v>0.84799016964937068</v>
      </c>
      <c r="H72" s="3">
        <f t="shared" si="22"/>
        <v>211613.73862890154</v>
      </c>
      <c r="I72" s="3">
        <f t="shared" si="23"/>
        <v>0.41605824780349943</v>
      </c>
      <c r="J72" s="4">
        <f t="shared" si="24"/>
        <v>13.148685329876098</v>
      </c>
      <c r="K72">
        <f t="shared" si="25"/>
        <v>0.60500000000000032</v>
      </c>
      <c r="L72">
        <f t="shared" si="26"/>
        <v>8.3868865464209144</v>
      </c>
      <c r="M72">
        <f t="shared" si="27"/>
        <v>0.81520573376848837</v>
      </c>
      <c r="N72" s="3">
        <f t="shared" si="28"/>
        <v>298243.19449052378</v>
      </c>
      <c r="O72" s="3">
        <f t="shared" si="29"/>
        <v>-7.571680812652426</v>
      </c>
      <c r="P72" s="4">
        <f t="shared" si="30"/>
        <v>-724.29067327881307</v>
      </c>
      <c r="Q72">
        <f t="shared" si="31"/>
        <v>0.61000000000000032</v>
      </c>
      <c r="R72">
        <f t="shared" si="32"/>
        <v>-14.185368397029151</v>
      </c>
      <c r="S72">
        <f t="shared" si="33"/>
        <v>0.78242129788760606</v>
      </c>
      <c r="T72" s="3">
        <f t="shared" si="34"/>
        <v>-99947.63490759251</v>
      </c>
      <c r="U72" s="3">
        <f t="shared" si="35"/>
        <v>14.967789694916757</v>
      </c>
      <c r="V72" s="4">
        <f t="shared" si="36"/>
        <v>-6007.0185837116614</v>
      </c>
      <c r="W72">
        <f t="shared" si="37"/>
        <v>0.46058513778393401</v>
      </c>
    </row>
    <row r="73" spans="1:23" x14ac:dyDescent="0.25">
      <c r="A73">
        <v>1.45</v>
      </c>
      <c r="B73">
        <v>-0.13444155342881678</v>
      </c>
      <c r="E73">
        <f t="shared" si="19"/>
        <v>0.61000000000000032</v>
      </c>
      <c r="F73">
        <f t="shared" si="20"/>
        <v>0.46058513778393401</v>
      </c>
      <c r="G73" s="3">
        <f t="shared" si="21"/>
        <v>0.78242129788760606</v>
      </c>
      <c r="H73" s="3">
        <f t="shared" si="22"/>
        <v>211925.77215046703</v>
      </c>
      <c r="I73" s="3">
        <f t="shared" si="23"/>
        <v>0.32183616010367205</v>
      </c>
      <c r="J73" s="4">
        <f t="shared" si="24"/>
        <v>8.932303504619183</v>
      </c>
      <c r="K73">
        <f t="shared" si="25"/>
        <v>0.61500000000000032</v>
      </c>
      <c r="L73">
        <f t="shared" si="26"/>
        <v>5.9539517931247339</v>
      </c>
      <c r="M73">
        <f t="shared" si="27"/>
        <v>0.74963686200672375</v>
      </c>
      <c r="N73" s="3">
        <f t="shared" si="28"/>
        <v>271748.53502712835</v>
      </c>
      <c r="O73" s="3">
        <f t="shared" si="29"/>
        <v>-5.2043149311180104</v>
      </c>
      <c r="P73" s="4">
        <f t="shared" si="30"/>
        <v>-452.97384993586928</v>
      </c>
      <c r="Q73">
        <f t="shared" si="31"/>
        <v>0.62000000000000033</v>
      </c>
      <c r="R73">
        <f t="shared" si="32"/>
        <v>-8.6882148959796446</v>
      </c>
      <c r="S73">
        <f t="shared" si="33"/>
        <v>0.71685242612584144</v>
      </c>
      <c r="T73" s="3">
        <f t="shared" si="34"/>
        <v>76493.633043988084</v>
      </c>
      <c r="U73" s="3">
        <f t="shared" si="35"/>
        <v>9.4050673221054861</v>
      </c>
      <c r="V73" s="4">
        <f t="shared" si="36"/>
        <v>3909.4220966028106</v>
      </c>
      <c r="W73">
        <f t="shared" si="37"/>
        <v>0.48166464341522053</v>
      </c>
    </row>
    <row r="74" spans="1:23" x14ac:dyDescent="0.25">
      <c r="A74">
        <v>1.4750000000000001</v>
      </c>
      <c r="B74">
        <v>0.13312352395897298</v>
      </c>
      <c r="E74">
        <f t="shared" si="19"/>
        <v>0.62000000000000033</v>
      </c>
      <c r="F74">
        <f t="shared" si="20"/>
        <v>0.48166464341522053</v>
      </c>
      <c r="G74" s="3">
        <f t="shared" si="21"/>
        <v>0.71685242612584144</v>
      </c>
      <c r="H74" s="3">
        <f t="shared" si="22"/>
        <v>212155.32796679175</v>
      </c>
      <c r="I74" s="3">
        <f t="shared" si="23"/>
        <v>0.23518778271062091</v>
      </c>
      <c r="J74" s="4">
        <f t="shared" si="24"/>
        <v>5.5739514573789499</v>
      </c>
      <c r="K74">
        <f t="shared" si="25"/>
        <v>0.62500000000000033</v>
      </c>
      <c r="L74">
        <f t="shared" si="26"/>
        <v>3.965384304277066</v>
      </c>
      <c r="M74">
        <f t="shared" si="27"/>
        <v>0.68406799024495835</v>
      </c>
      <c r="N74" s="3">
        <f t="shared" si="28"/>
        <v>250093.03507357725</v>
      </c>
      <c r="O74" s="3">
        <f t="shared" si="29"/>
        <v>-3.2813163140321078</v>
      </c>
      <c r="P74" s="4">
        <f t="shared" si="30"/>
        <v>-246.41409047138674</v>
      </c>
      <c r="Q74">
        <f t="shared" si="31"/>
        <v>0.63000000000000034</v>
      </c>
      <c r="R74">
        <f t="shared" si="32"/>
        <v>-4.5023566805863036</v>
      </c>
      <c r="S74">
        <f t="shared" si="33"/>
        <v>0.6387116964550813</v>
      </c>
      <c r="T74" s="3">
        <f t="shared" si="34"/>
        <v>157879.33574841515</v>
      </c>
      <c r="U74" s="3">
        <f t="shared" si="35"/>
        <v>5.1410683770413845</v>
      </c>
      <c r="V74" s="4">
        <f t="shared" si="36"/>
        <v>765.50806076767822</v>
      </c>
      <c r="W74">
        <f t="shared" si="37"/>
        <v>0.49657953527324361</v>
      </c>
    </row>
    <row r="75" spans="1:23" x14ac:dyDescent="0.25">
      <c r="A75">
        <v>1.5</v>
      </c>
      <c r="B75">
        <v>0.38711123737441844</v>
      </c>
      <c r="E75">
        <f t="shared" si="19"/>
        <v>0.63000000000000034</v>
      </c>
      <c r="F75">
        <f t="shared" si="20"/>
        <v>0.49657953527324361</v>
      </c>
      <c r="G75" s="3">
        <f t="shared" si="21"/>
        <v>0.6387116964550813</v>
      </c>
      <c r="H75" s="3">
        <f t="shared" si="22"/>
        <v>212317.75113912561</v>
      </c>
      <c r="I75" s="3">
        <f t="shared" si="23"/>
        <v>0.14213216118183769</v>
      </c>
      <c r="J75" s="4">
        <f t="shared" si="24"/>
        <v>2.6166595605135772</v>
      </c>
      <c r="K75">
        <f t="shared" si="25"/>
        <v>0.63500000000000034</v>
      </c>
      <c r="L75">
        <f t="shared" si="26"/>
        <v>2.1581583561993662</v>
      </c>
      <c r="M75">
        <f t="shared" si="27"/>
        <v>0.59335540266520437</v>
      </c>
      <c r="N75" s="3">
        <f t="shared" si="28"/>
        <v>230412.34449901109</v>
      </c>
      <c r="O75" s="3">
        <f t="shared" si="29"/>
        <v>-1.5648029535341619</v>
      </c>
      <c r="P75" s="4">
        <f t="shared" si="30"/>
        <v>-88.080289070809684</v>
      </c>
      <c r="Q75">
        <f t="shared" si="31"/>
        <v>0.64000000000000035</v>
      </c>
      <c r="R75">
        <f t="shared" si="32"/>
        <v>-1.2911928417480858</v>
      </c>
      <c r="S75">
        <f t="shared" si="33"/>
        <v>0.54799910887532743</v>
      </c>
      <c r="T75" s="3">
        <f t="shared" si="34"/>
        <v>192848.90995336336</v>
      </c>
      <c r="U75" s="3">
        <f t="shared" si="35"/>
        <v>1.8391919506234133</v>
      </c>
      <c r="V75" s="4">
        <f t="shared" si="36"/>
        <v>134.09679140207336</v>
      </c>
      <c r="W75">
        <f t="shared" si="37"/>
        <v>0.50580966907332647</v>
      </c>
    </row>
    <row r="76" spans="1:23" x14ac:dyDescent="0.25">
      <c r="A76">
        <v>1.5249999999999999</v>
      </c>
      <c r="B76">
        <v>0.60412507554411143</v>
      </c>
      <c r="E76">
        <f t="shared" si="19"/>
        <v>0.64000000000000035</v>
      </c>
      <c r="F76">
        <f t="shared" si="20"/>
        <v>0.50580966907332647</v>
      </c>
      <c r="G76" s="3">
        <f t="shared" si="21"/>
        <v>0.54799910887532743</v>
      </c>
      <c r="H76" s="3">
        <f t="shared" si="22"/>
        <v>212418.26729620853</v>
      </c>
      <c r="I76" s="3">
        <f t="shared" si="23"/>
        <v>4.2189439802000961E-2</v>
      </c>
      <c r="J76" s="4">
        <f t="shared" si="24"/>
        <v>0.42296922036882323</v>
      </c>
      <c r="K76">
        <f t="shared" si="25"/>
        <v>0.64500000000000035</v>
      </c>
      <c r="L76">
        <f t="shared" si="26"/>
        <v>0.7786248162112176</v>
      </c>
      <c r="M76">
        <f t="shared" si="27"/>
        <v>0.5026428150854505</v>
      </c>
      <c r="N76" s="3">
        <f t="shared" si="28"/>
        <v>215389.22424854015</v>
      </c>
      <c r="O76" s="3">
        <f t="shared" si="29"/>
        <v>-0.2759820011257671</v>
      </c>
      <c r="P76" s="4">
        <f t="shared" si="30"/>
        <v>-6.9789832415677546</v>
      </c>
      <c r="Q76">
        <f t="shared" si="31"/>
        <v>0.65000000000000036</v>
      </c>
      <c r="R76">
        <f t="shared" si="32"/>
        <v>0.3620003120382832</v>
      </c>
      <c r="S76">
        <f t="shared" si="33"/>
        <v>0.45728652129557296</v>
      </c>
      <c r="T76" s="3">
        <f t="shared" si="34"/>
        <v>210852.18339809691</v>
      </c>
      <c r="U76" s="3">
        <f t="shared" si="35"/>
        <v>9.5286209257289756E-2</v>
      </c>
      <c r="V76" s="4">
        <f t="shared" si="36"/>
        <v>1.4463119043116186</v>
      </c>
      <c r="W76">
        <f t="shared" si="37"/>
        <v>0.51062771407667018</v>
      </c>
    </row>
    <row r="77" spans="1:23" x14ac:dyDescent="0.25">
      <c r="A77">
        <v>1.55</v>
      </c>
      <c r="B77">
        <v>0.76430374883985785</v>
      </c>
      <c r="E77">
        <f t="shared" si="19"/>
        <v>0.65000000000000036</v>
      </c>
      <c r="F77">
        <f t="shared" si="20"/>
        <v>0.51062771407667018</v>
      </c>
      <c r="G77" s="3">
        <f t="shared" si="21"/>
        <v>0.45728652129557296</v>
      </c>
      <c r="H77" s="3">
        <f t="shared" si="22"/>
        <v>212470.73580629495</v>
      </c>
      <c r="I77" s="3">
        <f t="shared" si="23"/>
        <v>-5.3341192781097224E-2</v>
      </c>
      <c r="J77" s="4">
        <f t="shared" si="24"/>
        <v>-0.60115982718940264</v>
      </c>
      <c r="K77">
        <f t="shared" si="25"/>
        <v>0.65500000000000036</v>
      </c>
      <c r="L77">
        <f t="shared" si="26"/>
        <v>0.11686802726761125</v>
      </c>
      <c r="M77">
        <f t="shared" si="27"/>
        <v>0.40360588638180295</v>
      </c>
      <c r="N77" s="3">
        <f t="shared" si="28"/>
        <v>208182.6928169443</v>
      </c>
      <c r="O77" s="3">
        <f t="shared" si="29"/>
        <v>0.2867378591141917</v>
      </c>
      <c r="P77" s="4">
        <f t="shared" si="30"/>
        <v>7.6467681789924882</v>
      </c>
      <c r="Q77">
        <f t="shared" si="31"/>
        <v>0.66000000000000036</v>
      </c>
      <c r="R77">
        <f t="shared" si="32"/>
        <v>0.66957467592841402</v>
      </c>
      <c r="S77">
        <f t="shared" si="33"/>
        <v>0.34992525146803294</v>
      </c>
      <c r="T77" s="3">
        <f t="shared" si="34"/>
        <v>214201.66822086042</v>
      </c>
      <c r="U77" s="3">
        <f t="shared" si="35"/>
        <v>-0.31964942446038108</v>
      </c>
      <c r="V77" s="4">
        <f t="shared" si="36"/>
        <v>-8.7474814443905213</v>
      </c>
      <c r="W77">
        <f t="shared" si="37"/>
        <v>0.5128996956930133</v>
      </c>
    </row>
    <row r="78" spans="1:23" x14ac:dyDescent="0.25">
      <c r="A78">
        <v>1.575</v>
      </c>
      <c r="B78">
        <v>0.85313905174817839</v>
      </c>
      <c r="E78">
        <f t="shared" si="19"/>
        <v>0.66000000000000036</v>
      </c>
      <c r="F78">
        <f t="shared" si="20"/>
        <v>0.5128996956930133</v>
      </c>
      <c r="G78" s="3">
        <f t="shared" si="21"/>
        <v>0.34992525146803294</v>
      </c>
      <c r="H78" s="3">
        <f t="shared" si="22"/>
        <v>212495.47768609691</v>
      </c>
      <c r="I78" s="3">
        <f t="shared" si="23"/>
        <v>-0.16297444422498036</v>
      </c>
      <c r="J78" s="4">
        <f t="shared" si="24"/>
        <v>-3.2101443352603014</v>
      </c>
      <c r="K78">
        <f t="shared" si="25"/>
        <v>0.66500000000000037</v>
      </c>
      <c r="L78">
        <f t="shared" si="26"/>
        <v>-1.6218462872550883</v>
      </c>
      <c r="M78">
        <f t="shared" si="27"/>
        <v>0.29624461655426293</v>
      </c>
      <c r="N78" s="3">
        <f t="shared" si="28"/>
        <v>189248.0939317921</v>
      </c>
      <c r="O78" s="3">
        <f t="shared" si="29"/>
        <v>1.9180909038093512</v>
      </c>
      <c r="P78" s="4">
        <f t="shared" si="30"/>
        <v>145.53493395196708</v>
      </c>
      <c r="Q78">
        <f t="shared" si="31"/>
        <v>0.67000000000000037</v>
      </c>
      <c r="R78">
        <f t="shared" si="32"/>
        <v>3.4556998180849581</v>
      </c>
      <c r="S78">
        <f t="shared" si="33"/>
        <v>0.24256398164049295</v>
      </c>
      <c r="T78" s="3">
        <f t="shared" si="34"/>
        <v>244542.57101894519</v>
      </c>
      <c r="U78" s="3">
        <f t="shared" si="35"/>
        <v>-3.2131358364444651</v>
      </c>
      <c r="V78" s="4">
        <f t="shared" si="36"/>
        <v>-244.19352466545075</v>
      </c>
      <c r="W78">
        <f t="shared" si="37"/>
        <v>0.50992869254734208</v>
      </c>
    </row>
    <row r="79" spans="1:23" x14ac:dyDescent="0.25">
      <c r="A79">
        <v>1.6</v>
      </c>
      <c r="B79">
        <v>0.8627889570761581</v>
      </c>
      <c r="E79">
        <f t="shared" si="19"/>
        <v>0.67000000000000037</v>
      </c>
      <c r="F79">
        <f t="shared" si="20"/>
        <v>0.50992869254734208</v>
      </c>
      <c r="G79" s="3">
        <f t="shared" si="21"/>
        <v>0.24256398164049295</v>
      </c>
      <c r="H79" s="3">
        <f t="shared" si="22"/>
        <v>212463.12346184056</v>
      </c>
      <c r="I79" s="3">
        <f t="shared" si="23"/>
        <v>-0.2673647109068491</v>
      </c>
      <c r="J79" s="4">
        <f t="shared" si="24"/>
        <v>-6.7463295770992158</v>
      </c>
      <c r="K79">
        <f t="shared" si="25"/>
        <v>0.67500000000000038</v>
      </c>
      <c r="L79">
        <f t="shared" si="26"/>
        <v>-4.0438437719946307</v>
      </c>
      <c r="M79">
        <f t="shared" si="27"/>
        <v>0.18888334672672272</v>
      </c>
      <c r="N79" s="3">
        <f t="shared" si="28"/>
        <v>162872.54132297848</v>
      </c>
      <c r="O79" s="3">
        <f t="shared" si="29"/>
        <v>4.2327271187213533</v>
      </c>
      <c r="P79" s="4">
        <f t="shared" si="30"/>
        <v>554.3416647936449</v>
      </c>
      <c r="Q79">
        <f t="shared" si="31"/>
        <v>0.68000000000000038</v>
      </c>
      <c r="R79">
        <f t="shared" si="32"/>
        <v>11.664225284191232</v>
      </c>
      <c r="S79">
        <f t="shared" si="33"/>
        <v>0.13188330822198935</v>
      </c>
      <c r="T79" s="3">
        <f t="shared" si="34"/>
        <v>333933.4133448425</v>
      </c>
      <c r="U79" s="3">
        <f t="shared" si="35"/>
        <v>-11.532341975969244</v>
      </c>
      <c r="V79" s="4">
        <f t="shared" si="36"/>
        <v>-1215.9378579052593</v>
      </c>
      <c r="W79">
        <f t="shared" si="37"/>
        <v>0.50016383774405815</v>
      </c>
    </row>
    <row r="80" spans="1:23" x14ac:dyDescent="0.25">
      <c r="A80">
        <v>1.625</v>
      </c>
      <c r="B80">
        <v>0.792767195336469</v>
      </c>
      <c r="E80">
        <f t="shared" si="19"/>
        <v>0.68000000000000038</v>
      </c>
      <c r="F80">
        <f t="shared" si="20"/>
        <v>0.50016383774405815</v>
      </c>
      <c r="G80" s="3">
        <f t="shared" si="21"/>
        <v>0.13188330822198935</v>
      </c>
      <c r="H80" s="3">
        <f t="shared" si="22"/>
        <v>212356.7841930328</v>
      </c>
      <c r="I80" s="3">
        <f t="shared" si="23"/>
        <v>-0.3682805295220688</v>
      </c>
      <c r="J80" s="4">
        <f t="shared" si="24"/>
        <v>-10.911814813668004</v>
      </c>
      <c r="K80">
        <f t="shared" si="25"/>
        <v>0.68500000000000039</v>
      </c>
      <c r="L80">
        <f t="shared" si="26"/>
        <v>-6.9744293096185288</v>
      </c>
      <c r="M80">
        <f t="shared" si="27"/>
        <v>7.4883269717255979E-2</v>
      </c>
      <c r="N80" s="3">
        <f t="shared" si="28"/>
        <v>130958.46481825422</v>
      </c>
      <c r="O80" s="3">
        <f t="shared" si="29"/>
        <v>7.0493125793357851</v>
      </c>
      <c r="P80" s="4">
        <f t="shared" si="30"/>
        <v>1481.7726203360226</v>
      </c>
      <c r="Q80">
        <f t="shared" si="31"/>
        <v>0.69000000000000039</v>
      </c>
      <c r="R80">
        <f t="shared" si="32"/>
        <v>30.244734392601188</v>
      </c>
      <c r="S80">
        <f t="shared" si="33"/>
        <v>1.7883231212522614E-2</v>
      </c>
      <c r="T80" s="3">
        <f t="shared" si="34"/>
        <v>536275.1575354269</v>
      </c>
      <c r="U80" s="3">
        <f t="shared" si="35"/>
        <v>-30.226851161388666</v>
      </c>
      <c r="V80" s="4">
        <f t="shared" si="36"/>
        <v>-3212.8960209862448</v>
      </c>
      <c r="W80">
        <f t="shared" si="37"/>
        <v>0.48250650690474739</v>
      </c>
    </row>
    <row r="81" spans="1:23" x14ac:dyDescent="0.25">
      <c r="A81">
        <v>1.65</v>
      </c>
      <c r="B81">
        <v>0.6499489540051625</v>
      </c>
      <c r="E81">
        <f t="shared" si="19"/>
        <v>0.69000000000000039</v>
      </c>
      <c r="F81">
        <f t="shared" si="20"/>
        <v>0.48250650690474739</v>
      </c>
      <c r="G81" s="3">
        <f t="shared" si="21"/>
        <v>1.7883231212522614E-2</v>
      </c>
      <c r="H81" s="3">
        <f t="shared" si="22"/>
        <v>212164.49586019269</v>
      </c>
      <c r="I81" s="3">
        <f t="shared" si="23"/>
        <v>-0.46462327569222478</v>
      </c>
      <c r="J81" s="4">
        <f t="shared" si="24"/>
        <v>-15.476534577453879</v>
      </c>
      <c r="K81">
        <f t="shared" si="25"/>
        <v>0.6950000000000004</v>
      </c>
      <c r="L81">
        <f t="shared" si="26"/>
        <v>-10.273685024425706</v>
      </c>
      <c r="M81">
        <f t="shared" si="27"/>
        <v>-3.9116807292210759E-2</v>
      </c>
      <c r="N81" s="3">
        <f t="shared" si="28"/>
        <v>25605.04866864354</v>
      </c>
      <c r="O81" s="3">
        <f t="shared" si="29"/>
        <v>10.234568217133496</v>
      </c>
      <c r="P81" s="4">
        <f t="shared" si="30"/>
        <v>13257.867382526172</v>
      </c>
      <c r="Q81">
        <f t="shared" si="31"/>
        <v>0.7000000000000004</v>
      </c>
      <c r="R81">
        <f t="shared" si="32"/>
        <v>265.79461950320274</v>
      </c>
      <c r="S81">
        <f t="shared" si="33"/>
        <v>-9.6116845796943948E-2</v>
      </c>
      <c r="T81" s="3">
        <f t="shared" si="34"/>
        <v>3101413.4063898777</v>
      </c>
      <c r="U81" s="3">
        <f t="shared" si="35"/>
        <v>-265.89073634899967</v>
      </c>
      <c r="V81" s="4">
        <f t="shared" si="36"/>
        <v>-14494.062802581668</v>
      </c>
      <c r="W81">
        <f t="shared" si="37"/>
        <v>0.45629130915071459</v>
      </c>
    </row>
    <row r="82" spans="1:23" x14ac:dyDescent="0.25">
      <c r="A82">
        <v>1.675</v>
      </c>
      <c r="B82">
        <v>0.44789596924907527</v>
      </c>
      <c r="E82">
        <f t="shared" si="19"/>
        <v>0.7000000000000004</v>
      </c>
      <c r="F82">
        <f t="shared" si="20"/>
        <v>0.45629130915071459</v>
      </c>
      <c r="G82" s="3">
        <f t="shared" si="21"/>
        <v>-9.6116845796943948E-2</v>
      </c>
      <c r="H82" s="3">
        <f t="shared" si="22"/>
        <v>211879.01235665128</v>
      </c>
      <c r="I82" s="3">
        <f t="shared" si="23"/>
        <v>-0.55240815494765849</v>
      </c>
      <c r="J82" s="4">
        <f t="shared" si="24"/>
        <v>-20.090797231953339</v>
      </c>
      <c r="K82">
        <f t="shared" si="25"/>
        <v>0.7050000000000004</v>
      </c>
      <c r="L82">
        <f t="shared" si="26"/>
        <v>-13.707720739376398</v>
      </c>
      <c r="M82">
        <f t="shared" si="27"/>
        <v>-0.15114102067650242</v>
      </c>
      <c r="N82" s="3">
        <f t="shared" si="28"/>
        <v>-84616.653457963301</v>
      </c>
      <c r="O82" s="3">
        <f t="shared" si="29"/>
        <v>13.556579718699895</v>
      </c>
      <c r="P82" s="4">
        <f t="shared" si="30"/>
        <v>-6115.9558503526023</v>
      </c>
      <c r="Q82">
        <f t="shared" si="31"/>
        <v>0.71000000000000041</v>
      </c>
      <c r="R82">
        <f t="shared" si="32"/>
        <v>-121.6619177255818</v>
      </c>
      <c r="S82">
        <f t="shared" si="33"/>
        <v>-0.20616519555606092</v>
      </c>
      <c r="T82" s="3">
        <f t="shared" si="34"/>
        <v>-3549605.4687246741</v>
      </c>
      <c r="U82" s="3">
        <f t="shared" si="35"/>
        <v>121.45575253002573</v>
      </c>
      <c r="V82" s="4">
        <f t="shared" si="36"/>
        <v>-3909.6874256152109</v>
      </c>
      <c r="W82">
        <f t="shared" si="37"/>
        <v>0.42145543163368893</v>
      </c>
    </row>
    <row r="83" spans="1:23" x14ac:dyDescent="0.25">
      <c r="A83">
        <v>1.7</v>
      </c>
      <c r="B83">
        <v>0.2055672500993741</v>
      </c>
      <c r="E83">
        <f t="shared" si="19"/>
        <v>0.71000000000000041</v>
      </c>
      <c r="F83">
        <f t="shared" si="20"/>
        <v>0.42145543163368893</v>
      </c>
      <c r="G83" s="3">
        <f t="shared" si="21"/>
        <v>-0.20616519555606092</v>
      </c>
      <c r="H83" s="3">
        <f t="shared" si="22"/>
        <v>211499.64965049087</v>
      </c>
      <c r="I83" s="3">
        <f t="shared" si="23"/>
        <v>-0.62762062718974987</v>
      </c>
      <c r="J83" s="4">
        <f t="shared" si="24"/>
        <v>-24.374243701642527</v>
      </c>
      <c r="K83">
        <f t="shared" si="25"/>
        <v>0.71500000000000041</v>
      </c>
      <c r="L83">
        <f t="shared" si="26"/>
        <v>-17.006128815040729</v>
      </c>
      <c r="M83">
        <f t="shared" si="27"/>
        <v>-0.26118937043561941</v>
      </c>
      <c r="N83" s="3">
        <f t="shared" si="28"/>
        <v>-190485.1366612862</v>
      </c>
      <c r="O83" s="3">
        <f t="shared" si="29"/>
        <v>16.744939444605109</v>
      </c>
      <c r="P83" s="4">
        <f t="shared" si="30"/>
        <v>-3729.5743271337128</v>
      </c>
      <c r="Q83">
        <f t="shared" si="31"/>
        <v>0.72000000000000042</v>
      </c>
      <c r="R83">
        <f t="shared" si="32"/>
        <v>-73.92628867402415</v>
      </c>
      <c r="S83">
        <f t="shared" si="33"/>
        <v>-0.31621354531517787</v>
      </c>
      <c r="T83" s="3">
        <f t="shared" si="34"/>
        <v>-2017442.520261415</v>
      </c>
      <c r="U83" s="3">
        <f t="shared" si="35"/>
        <v>73.610075128708971</v>
      </c>
      <c r="V83" s="4">
        <f t="shared" si="36"/>
        <v>-3245.6352395893396</v>
      </c>
      <c r="W83">
        <f t="shared" si="37"/>
        <v>0.37856340708585529</v>
      </c>
    </row>
    <row r="84" spans="1:23" x14ac:dyDescent="0.25">
      <c r="A84">
        <v>1.7250000000000001</v>
      </c>
      <c r="B84">
        <v>-5.4461857624687832E-2</v>
      </c>
      <c r="E84">
        <f t="shared" si="19"/>
        <v>0.72000000000000042</v>
      </c>
      <c r="F84">
        <f t="shared" si="20"/>
        <v>0.37856340708585529</v>
      </c>
      <c r="G84" s="3">
        <f t="shared" si="21"/>
        <v>-0.31621354531517787</v>
      </c>
      <c r="H84" s="3">
        <f t="shared" si="22"/>
        <v>211032.55550316497</v>
      </c>
      <c r="I84" s="3">
        <f t="shared" si="23"/>
        <v>-0.69477695240103321</v>
      </c>
      <c r="J84" s="4">
        <f t="shared" si="24"/>
        <v>-28.45205472964151</v>
      </c>
      <c r="K84">
        <f t="shared" si="25"/>
        <v>0.72500000000000042</v>
      </c>
      <c r="L84">
        <f t="shared" si="26"/>
        <v>-20.249176271904251</v>
      </c>
      <c r="M84">
        <f t="shared" si="27"/>
        <v>-0.37123772019473572</v>
      </c>
      <c r="N84" s="3">
        <f t="shared" si="28"/>
        <v>-294576.71882410988</v>
      </c>
      <c r="O84" s="3">
        <f t="shared" si="29"/>
        <v>19.877938551709516</v>
      </c>
      <c r="P84" s="4">
        <f t="shared" si="30"/>
        <v>-3119.274419750966</v>
      </c>
      <c r="Q84">
        <f t="shared" si="31"/>
        <v>0.73000000000000043</v>
      </c>
      <c r="R84">
        <f t="shared" si="32"/>
        <v>-61.72240444063705</v>
      </c>
      <c r="S84">
        <f t="shared" si="33"/>
        <v>-0.41919278230829743</v>
      </c>
      <c r="T84" s="3">
        <f t="shared" si="34"/>
        <v>-1625736.3749514788</v>
      </c>
      <c r="U84" s="3">
        <f t="shared" si="35"/>
        <v>61.303211658328749</v>
      </c>
      <c r="V84" s="4">
        <f t="shared" si="36"/>
        <v>-3061.044950402666</v>
      </c>
      <c r="W84">
        <f t="shared" si="37"/>
        <v>0.32796974309797405</v>
      </c>
    </row>
    <row r="85" spans="1:23" x14ac:dyDescent="0.25">
      <c r="A85">
        <v>1.75</v>
      </c>
      <c r="B85">
        <v>-0.30810478485462489</v>
      </c>
      <c r="E85">
        <f t="shared" si="19"/>
        <v>0.73000000000000043</v>
      </c>
      <c r="F85">
        <f t="shared" si="20"/>
        <v>0.32796974309797405</v>
      </c>
      <c r="G85" s="3">
        <f t="shared" si="21"/>
        <v>-0.41919278230829743</v>
      </c>
      <c r="H85" s="3">
        <f t="shared" si="22"/>
        <v>210481.59050233694</v>
      </c>
      <c r="I85" s="3">
        <f t="shared" si="23"/>
        <v>-0.74716252540627148</v>
      </c>
      <c r="J85" s="4">
        <f t="shared" si="24"/>
        <v>-31.812917096267501</v>
      </c>
      <c r="K85">
        <f t="shared" si="25"/>
        <v>0.73500000000000043</v>
      </c>
      <c r="L85">
        <f t="shared" si="26"/>
        <v>-23.054524322658654</v>
      </c>
      <c r="M85">
        <f t="shared" si="27"/>
        <v>-0.46714784442185919</v>
      </c>
      <c r="N85" s="3">
        <f t="shared" si="28"/>
        <v>-384619.53225948178</v>
      </c>
      <c r="O85" s="3">
        <f t="shared" si="29"/>
        <v>22.587376478236795</v>
      </c>
      <c r="P85" s="4">
        <f t="shared" si="30"/>
        <v>-2893.7588663399815</v>
      </c>
      <c r="Q85">
        <f t="shared" si="31"/>
        <v>0.74000000000000044</v>
      </c>
      <c r="R85">
        <f t="shared" si="32"/>
        <v>-57.229078412738978</v>
      </c>
      <c r="S85">
        <f t="shared" si="33"/>
        <v>-0.5151029065354209</v>
      </c>
      <c r="T85" s="3">
        <f t="shared" si="34"/>
        <v>-1481514.7989065652</v>
      </c>
      <c r="U85" s="3">
        <f t="shared" si="35"/>
        <v>56.71397550620356</v>
      </c>
      <c r="V85" s="4">
        <f t="shared" si="36"/>
        <v>-2988.9877246111723</v>
      </c>
      <c r="W85">
        <f t="shared" si="37"/>
        <v>0.27097539079715682</v>
      </c>
    </row>
    <row r="86" spans="1:23" x14ac:dyDescent="0.25">
      <c r="A86">
        <v>1.7749999999999999</v>
      </c>
      <c r="B86">
        <v>-0.5319965403805651</v>
      </c>
      <c r="E86">
        <f t="shared" si="19"/>
        <v>0.74000000000000044</v>
      </c>
      <c r="F86">
        <f t="shared" si="20"/>
        <v>0.27097539079715682</v>
      </c>
      <c r="G86" s="3">
        <f t="shared" si="21"/>
        <v>-0.5151029065354209</v>
      </c>
      <c r="H86" s="3">
        <f t="shared" si="22"/>
        <v>209860.92200578103</v>
      </c>
      <c r="I86" s="3">
        <f t="shared" si="23"/>
        <v>-0.78607829733257772</v>
      </c>
      <c r="J86" s="4">
        <f t="shared" si="24"/>
        <v>-34.431989808787577</v>
      </c>
      <c r="K86">
        <f t="shared" si="25"/>
        <v>0.74500000000000044</v>
      </c>
      <c r="L86">
        <f t="shared" si="26"/>
        <v>-25.380857016749601</v>
      </c>
      <c r="M86">
        <f t="shared" si="27"/>
        <v>-0.56305796864898261</v>
      </c>
      <c r="N86" s="3">
        <f t="shared" si="28"/>
        <v>-459287.46542603039</v>
      </c>
      <c r="O86" s="3">
        <f t="shared" si="29"/>
        <v>24.817799048100618</v>
      </c>
      <c r="P86" s="4">
        <f t="shared" si="30"/>
        <v>-2790.9707885572657</v>
      </c>
      <c r="Q86">
        <f t="shared" si="31"/>
        <v>0.75000000000000044</v>
      </c>
      <c r="R86">
        <f t="shared" si="32"/>
        <v>-55.204120482260286</v>
      </c>
      <c r="S86">
        <f t="shared" si="33"/>
        <v>-0.61101303076254332</v>
      </c>
      <c r="T86" s="3">
        <f t="shared" si="34"/>
        <v>-1416520.0439421902</v>
      </c>
      <c r="U86" s="3">
        <f t="shared" si="35"/>
        <v>54.593107451497744</v>
      </c>
      <c r="V86" s="4">
        <f t="shared" si="36"/>
        <v>-2952.4257676003776</v>
      </c>
      <c r="W86">
        <f t="shared" si="37"/>
        <v>0.20881666627358009</v>
      </c>
    </row>
    <row r="87" spans="1:23" x14ac:dyDescent="0.25">
      <c r="A87">
        <v>1.8</v>
      </c>
      <c r="B87">
        <v>-0.70564706114550635</v>
      </c>
      <c r="E87">
        <f t="shared" si="19"/>
        <v>0.75000000000000044</v>
      </c>
      <c r="F87">
        <f t="shared" si="20"/>
        <v>0.20881666627358009</v>
      </c>
      <c r="G87" s="3">
        <f t="shared" si="21"/>
        <v>-0.61101303076254332</v>
      </c>
      <c r="H87" s="3">
        <f t="shared" si="22"/>
        <v>209184.01349571929</v>
      </c>
      <c r="I87" s="3">
        <f t="shared" si="23"/>
        <v>-0.81982969703612341</v>
      </c>
      <c r="J87" s="4">
        <f t="shared" si="24"/>
        <v>-36.791878813076949</v>
      </c>
      <c r="K87">
        <f t="shared" si="25"/>
        <v>0.75500000000000045</v>
      </c>
      <c r="L87">
        <f t="shared" si="26"/>
        <v>-27.569051837599531</v>
      </c>
      <c r="M87">
        <f t="shared" si="27"/>
        <v>-0.64747953504204914</v>
      </c>
      <c r="N87" s="3">
        <f t="shared" si="28"/>
        <v>-529521.60908640514</v>
      </c>
      <c r="O87" s="3">
        <f t="shared" si="29"/>
        <v>26.921572302557482</v>
      </c>
      <c r="P87" s="4">
        <f t="shared" si="30"/>
        <v>-2735.0289733721615</v>
      </c>
      <c r="Q87">
        <f t="shared" si="31"/>
        <v>0.76000000000000045</v>
      </c>
      <c r="R87">
        <f t="shared" si="32"/>
        <v>-54.123844013038884</v>
      </c>
      <c r="S87">
        <f t="shared" si="33"/>
        <v>-0.68394603932155484</v>
      </c>
      <c r="T87" s="3">
        <f t="shared" si="34"/>
        <v>-1381846.5806795596</v>
      </c>
      <c r="U87" s="3">
        <f t="shared" si="35"/>
        <v>53.439897973717329</v>
      </c>
      <c r="V87" s="4">
        <f t="shared" si="36"/>
        <v>-2931.1199457945063</v>
      </c>
      <c r="W87">
        <f t="shared" si="37"/>
        <v>0.14204042795263561</v>
      </c>
    </row>
    <row r="88" spans="1:23" x14ac:dyDescent="0.25">
      <c r="A88">
        <v>1.825</v>
      </c>
      <c r="B88">
        <v>-0.81331655665364888</v>
      </c>
      <c r="E88">
        <f t="shared" si="19"/>
        <v>0.76000000000000045</v>
      </c>
      <c r="F88">
        <f t="shared" si="20"/>
        <v>0.14204042795263561</v>
      </c>
      <c r="G88" s="3">
        <f t="shared" si="21"/>
        <v>-0.68394603932155484</v>
      </c>
      <c r="H88" s="3">
        <f t="shared" si="22"/>
        <v>208456.8202604042</v>
      </c>
      <c r="I88" s="3">
        <f t="shared" si="23"/>
        <v>-0.82598646727419045</v>
      </c>
      <c r="J88" s="4">
        <f t="shared" si="24"/>
        <v>-37.336901812114682</v>
      </c>
      <c r="K88">
        <f t="shared" si="25"/>
        <v>0.76500000000000046</v>
      </c>
      <c r="L88">
        <f t="shared" si="26"/>
        <v>-28.420689458315113</v>
      </c>
      <c r="M88">
        <f t="shared" si="27"/>
        <v>-0.72041254360106066</v>
      </c>
      <c r="N88" s="3">
        <f t="shared" si="28"/>
        <v>-556856.48732941516</v>
      </c>
      <c r="O88" s="3">
        <f t="shared" si="29"/>
        <v>27.700276914714053</v>
      </c>
      <c r="P88" s="4">
        <f t="shared" si="30"/>
        <v>-2714.4251528301643</v>
      </c>
      <c r="Q88">
        <f t="shared" si="31"/>
        <v>0.77000000000000046</v>
      </c>
      <c r="R88">
        <f t="shared" si="32"/>
        <v>-53.773093610529507</v>
      </c>
      <c r="S88">
        <f t="shared" si="33"/>
        <v>-0.75687904788056648</v>
      </c>
      <c r="T88" s="3">
        <f t="shared" si="34"/>
        <v>-1370588.6003918587</v>
      </c>
      <c r="U88" s="3">
        <f t="shared" si="35"/>
        <v>53.016214562648941</v>
      </c>
      <c r="V88" s="4">
        <f t="shared" si="36"/>
        <v>-2920.121662330193</v>
      </c>
      <c r="W88">
        <f t="shared" si="37"/>
        <v>7.3748042895303123E-2</v>
      </c>
    </row>
    <row r="89" spans="1:23" x14ac:dyDescent="0.25">
      <c r="A89">
        <v>1.85</v>
      </c>
      <c r="B89">
        <v>-0.84544119364107695</v>
      </c>
      <c r="E89">
        <f t="shared" si="19"/>
        <v>0.77000000000000046</v>
      </c>
      <c r="F89">
        <f t="shared" si="20"/>
        <v>7.3748042895303123E-2</v>
      </c>
      <c r="G89" s="3">
        <f t="shared" si="21"/>
        <v>-0.75687904788056648</v>
      </c>
      <c r="H89" s="3">
        <f t="shared" si="22"/>
        <v>207713.11618712984</v>
      </c>
      <c r="I89" s="3">
        <f t="shared" si="23"/>
        <v>-0.8306270907758696</v>
      </c>
      <c r="J89" s="4">
        <f t="shared" si="24"/>
        <v>-37.786807789062195</v>
      </c>
      <c r="K89">
        <f t="shared" si="25"/>
        <v>0.77500000000000047</v>
      </c>
      <c r="L89">
        <f t="shared" si="26"/>
        <v>-29.211027993627916</v>
      </c>
      <c r="M89">
        <f t="shared" si="27"/>
        <v>-0.79334555216007085</v>
      </c>
      <c r="N89" s="3">
        <f t="shared" si="28"/>
        <v>-582223.85850705521</v>
      </c>
      <c r="O89" s="3">
        <f t="shared" si="29"/>
        <v>28.417682441467846</v>
      </c>
      <c r="P89" s="4">
        <f t="shared" si="30"/>
        <v>-2697.6647412694092</v>
      </c>
      <c r="Q89">
        <f t="shared" si="31"/>
        <v>0.78000000000000047</v>
      </c>
      <c r="R89">
        <f t="shared" si="32"/>
        <v>-53.501678704602256</v>
      </c>
      <c r="S89">
        <f t="shared" si="33"/>
        <v>-0.81498534805084644</v>
      </c>
      <c r="T89" s="3">
        <f t="shared" si="34"/>
        <v>-1361877.0390112968</v>
      </c>
      <c r="U89" s="3">
        <f t="shared" si="35"/>
        <v>52.686693356551409</v>
      </c>
      <c r="V89" s="4">
        <f t="shared" si="36"/>
        <v>-2911.4444285480195</v>
      </c>
      <c r="W89">
        <f t="shared" si="37"/>
        <v>4.1227506523809215E-3</v>
      </c>
    </row>
    <row r="90" spans="1:23" x14ac:dyDescent="0.25">
      <c r="A90">
        <v>1.875</v>
      </c>
      <c r="B90">
        <v>-0.7994800815258627</v>
      </c>
      <c r="E90">
        <f t="shared" si="19"/>
        <v>0.78000000000000047</v>
      </c>
      <c r="F90">
        <f t="shared" si="20"/>
        <v>4.1227506523809215E-3</v>
      </c>
      <c r="G90" s="3">
        <f t="shared" si="21"/>
        <v>-0.81498534805084644</v>
      </c>
      <c r="H90" s="3">
        <f t="shared" si="22"/>
        <v>206954.89675460442</v>
      </c>
      <c r="I90" s="3">
        <f t="shared" si="23"/>
        <v>-0.81910809870322732</v>
      </c>
      <c r="J90" s="4">
        <f t="shared" si="24"/>
        <v>-37.139077469929354</v>
      </c>
      <c r="K90">
        <f t="shared" si="25"/>
        <v>0.78500000000000048</v>
      </c>
      <c r="L90">
        <f t="shared" si="26"/>
        <v>-29.150053063242179</v>
      </c>
      <c r="M90">
        <f t="shared" si="27"/>
        <v>-0.83662514394162191</v>
      </c>
      <c r="N90" s="3">
        <f t="shared" si="28"/>
        <v>-580266.75579408475</v>
      </c>
      <c r="O90" s="3">
        <f t="shared" si="29"/>
        <v>28.313427919300558</v>
      </c>
      <c r="P90" s="4">
        <f t="shared" si="30"/>
        <v>-2691.8817472996593</v>
      </c>
      <c r="Q90">
        <f t="shared" si="31"/>
        <v>0.79000000000000048</v>
      </c>
      <c r="R90">
        <f t="shared" si="32"/>
        <v>-53.462121420641516</v>
      </c>
      <c r="S90">
        <f t="shared" si="33"/>
        <v>-0.85826493983239738</v>
      </c>
      <c r="T90" s="3">
        <f t="shared" si="34"/>
        <v>-1360607.3751138959</v>
      </c>
      <c r="U90" s="3">
        <f t="shared" si="35"/>
        <v>52.603856480809121</v>
      </c>
      <c r="V90" s="4">
        <f t="shared" si="36"/>
        <v>-2907.291269604355</v>
      </c>
      <c r="W90">
        <f t="shared" si="37"/>
        <v>-6.4783654323499473E-2</v>
      </c>
    </row>
    <row r="91" spans="1:23" x14ac:dyDescent="0.25">
      <c r="A91">
        <v>1.9</v>
      </c>
      <c r="B91">
        <v>-0.68010880340090551</v>
      </c>
      <c r="E91">
        <f t="shared" si="19"/>
        <v>0.79000000000000048</v>
      </c>
      <c r="F91">
        <f t="shared" si="20"/>
        <v>-6.4783654323499473E-2</v>
      </c>
      <c r="G91" s="3">
        <f t="shared" si="21"/>
        <v>-0.85826493983239738</v>
      </c>
      <c r="H91" s="3">
        <f t="shared" si="22"/>
        <v>206204.50600441708</v>
      </c>
      <c r="I91" s="3">
        <f t="shared" si="23"/>
        <v>-0.79348128550889796</v>
      </c>
      <c r="J91" s="4">
        <f t="shared" si="24"/>
        <v>-35.538727188938637</v>
      </c>
      <c r="K91">
        <f t="shared" si="25"/>
        <v>0.79500000000000048</v>
      </c>
      <c r="L91">
        <f t="shared" si="26"/>
        <v>-28.318071769529734</v>
      </c>
      <c r="M91">
        <f t="shared" si="27"/>
        <v>-0.87990473572317285</v>
      </c>
      <c r="N91" s="3">
        <f t="shared" si="28"/>
        <v>-553562.78357526381</v>
      </c>
      <c r="O91" s="3">
        <f t="shared" si="29"/>
        <v>27.438167033806561</v>
      </c>
      <c r="P91" s="4">
        <f t="shared" si="30"/>
        <v>-2691.9113117308075</v>
      </c>
      <c r="Q91">
        <f t="shared" si="31"/>
        <v>0.80000000000000049</v>
      </c>
      <c r="R91">
        <f t="shared" si="32"/>
        <v>-53.547622617050266</v>
      </c>
      <c r="S91">
        <f t="shared" si="33"/>
        <v>-0.90154453161394688</v>
      </c>
      <c r="T91" s="3">
        <f t="shared" si="34"/>
        <v>-1363351.6935148386</v>
      </c>
      <c r="U91" s="3">
        <f t="shared" si="35"/>
        <v>52.646078085436322</v>
      </c>
      <c r="V91" s="4">
        <f t="shared" si="36"/>
        <v>-2904.9330119159627</v>
      </c>
      <c r="W91">
        <f t="shared" si="37"/>
        <v>-0.13138347209590825</v>
      </c>
    </row>
    <row r="92" spans="1:23" x14ac:dyDescent="0.25">
      <c r="A92">
        <v>1.925</v>
      </c>
      <c r="B92">
        <v>-0.49874559374688232</v>
      </c>
      <c r="E92">
        <f t="shared" si="19"/>
        <v>0.80000000000000049</v>
      </c>
      <c r="F92">
        <f t="shared" si="20"/>
        <v>-0.13138347209590825</v>
      </c>
      <c r="G92" s="3">
        <f t="shared" si="21"/>
        <v>-0.90154453161394688</v>
      </c>
      <c r="H92" s="3">
        <f t="shared" si="22"/>
        <v>205479.23398887555</v>
      </c>
      <c r="I92" s="3">
        <f t="shared" si="23"/>
        <v>-0.77016105951803859</v>
      </c>
      <c r="J92" s="4">
        <f t="shared" si="24"/>
        <v>-34.103533963335259</v>
      </c>
      <c r="K92">
        <f t="shared" si="25"/>
        <v>0.80500000000000049</v>
      </c>
      <c r="L92">
        <f t="shared" si="26"/>
        <v>-27.584728312580808</v>
      </c>
      <c r="M92">
        <f t="shared" si="27"/>
        <v>-0.90640636600525792</v>
      </c>
      <c r="N92" s="3">
        <f t="shared" si="28"/>
        <v>-530024.77442864631</v>
      </c>
      <c r="O92" s="3">
        <f t="shared" si="29"/>
        <v>26.678321946575551</v>
      </c>
      <c r="P92" s="4">
        <f t="shared" si="30"/>
        <v>-2695.4829087305206</v>
      </c>
      <c r="Q92">
        <f t="shared" si="31"/>
        <v>0.8100000000000005</v>
      </c>
      <c r="R92">
        <f t="shared" si="32"/>
        <v>-53.700006307072968</v>
      </c>
      <c r="S92">
        <f t="shared" si="33"/>
        <v>-0.91126820039656908</v>
      </c>
      <c r="T92" s="3">
        <f t="shared" si="34"/>
        <v>-1368242.7287529146</v>
      </c>
      <c r="U92" s="3">
        <f t="shared" si="35"/>
        <v>52.788738106676398</v>
      </c>
      <c r="V92" s="4">
        <f t="shared" si="36"/>
        <v>-2906.3222075677754</v>
      </c>
      <c r="W92">
        <f t="shared" si="37"/>
        <v>-0.1957841848088297</v>
      </c>
    </row>
    <row r="93" spans="1:23" x14ac:dyDescent="0.25">
      <c r="A93">
        <v>1.95</v>
      </c>
      <c r="B93">
        <v>-0.27245801972987305</v>
      </c>
      <c r="E93">
        <f t="shared" si="19"/>
        <v>0.8100000000000005</v>
      </c>
      <c r="F93">
        <f t="shared" si="20"/>
        <v>-0.1957841848088297</v>
      </c>
      <c r="G93" s="3">
        <f t="shared" si="21"/>
        <v>-0.91126820039656908</v>
      </c>
      <c r="H93" s="3">
        <f t="shared" si="22"/>
        <v>204777.91022743186</v>
      </c>
      <c r="I93" s="3">
        <f t="shared" si="23"/>
        <v>-0.71548401558773933</v>
      </c>
      <c r="J93" s="4">
        <f t="shared" si="24"/>
        <v>-30.641624451408685</v>
      </c>
      <c r="K93">
        <f t="shared" si="25"/>
        <v>0.8150000000000005</v>
      </c>
      <c r="L93">
        <f t="shared" si="26"/>
        <v>-25.168708112706923</v>
      </c>
      <c r="M93">
        <f t="shared" si="27"/>
        <v>-0.91613003478788024</v>
      </c>
      <c r="N93" s="3">
        <f t="shared" si="28"/>
        <v>-452478.1555501679</v>
      </c>
      <c r="O93" s="3">
        <f t="shared" si="29"/>
        <v>24.252578077919043</v>
      </c>
      <c r="P93" s="4">
        <f t="shared" si="30"/>
        <v>-2736.7444006050432</v>
      </c>
      <c r="Q93">
        <f t="shared" si="31"/>
        <v>0.82000000000000051</v>
      </c>
      <c r="R93">
        <f t="shared" si="32"/>
        <v>-54.624255952395607</v>
      </c>
      <c r="S93">
        <f t="shared" si="33"/>
        <v>-0.92099186917919129</v>
      </c>
      <c r="T93" s="3">
        <f t="shared" si="34"/>
        <v>-1397908.2236846809</v>
      </c>
      <c r="U93" s="3">
        <f t="shared" si="35"/>
        <v>53.703264083216418</v>
      </c>
      <c r="V93" s="4">
        <f t="shared" si="36"/>
        <v>-2918.8874758968173</v>
      </c>
      <c r="W93">
        <f t="shared" si="37"/>
        <v>-0.25449607890839537</v>
      </c>
    </row>
    <row r="94" spans="1:23" x14ac:dyDescent="0.25">
      <c r="A94">
        <v>1.9750000000000001</v>
      </c>
      <c r="B94">
        <v>-2.2354959152045245E-2</v>
      </c>
      <c r="E94">
        <f t="shared" si="19"/>
        <v>0.82000000000000051</v>
      </c>
      <c r="F94">
        <f t="shared" si="20"/>
        <v>-0.25449607890839537</v>
      </c>
      <c r="G94" s="3">
        <f t="shared" si="21"/>
        <v>-0.92099186917919129</v>
      </c>
      <c r="H94" s="3">
        <f t="shared" si="22"/>
        <v>204138.53770068756</v>
      </c>
      <c r="I94" s="3">
        <f t="shared" si="23"/>
        <v>-0.66649579027079597</v>
      </c>
      <c r="J94" s="4">
        <f t="shared" si="24"/>
        <v>-27.63542227268151</v>
      </c>
      <c r="K94">
        <f t="shared" si="25"/>
        <v>0.82500000000000051</v>
      </c>
      <c r="L94">
        <f t="shared" si="26"/>
        <v>-23.053719453870656</v>
      </c>
      <c r="M94">
        <f t="shared" si="27"/>
        <v>-0.92585370357050056</v>
      </c>
      <c r="N94" s="3">
        <f t="shared" si="28"/>
        <v>-384593.69851307792</v>
      </c>
      <c r="O94" s="3">
        <f t="shared" si="29"/>
        <v>22.127865750300156</v>
      </c>
      <c r="P94" s="4">
        <f t="shared" si="30"/>
        <v>-2806.0933609498966</v>
      </c>
      <c r="Q94">
        <f t="shared" si="31"/>
        <v>0.83000000000000052</v>
      </c>
      <c r="R94">
        <f t="shared" si="32"/>
        <v>-56.100009075179514</v>
      </c>
      <c r="S94">
        <f t="shared" si="33"/>
        <v>-0.91354895596460606</v>
      </c>
      <c r="T94" s="3">
        <f t="shared" si="34"/>
        <v>-1445275.2386530249</v>
      </c>
      <c r="U94" s="3">
        <f t="shared" si="35"/>
        <v>55.186460119214907</v>
      </c>
      <c r="V94" s="4">
        <f t="shared" si="36"/>
        <v>-2940.9878663501004</v>
      </c>
      <c r="W94">
        <f t="shared" si="37"/>
        <v>-0.3082500556466089</v>
      </c>
    </row>
    <row r="95" spans="1:23" x14ac:dyDescent="0.25">
      <c r="A95">
        <v>2</v>
      </c>
      <c r="B95">
        <v>0.22838444981258327</v>
      </c>
      <c r="E95">
        <f t="shared" si="19"/>
        <v>0.83000000000000052</v>
      </c>
      <c r="F95">
        <f t="shared" si="20"/>
        <v>-0.3082500556466089</v>
      </c>
      <c r="G95" s="3">
        <f t="shared" si="21"/>
        <v>-0.91354895596460606</v>
      </c>
      <c r="H95" s="3">
        <f t="shared" si="22"/>
        <v>203553.15689400843</v>
      </c>
      <c r="I95" s="3">
        <f t="shared" si="23"/>
        <v>-0.60529890031799716</v>
      </c>
      <c r="J95" s="4">
        <f t="shared" si="24"/>
        <v>-23.986781200990716</v>
      </c>
      <c r="K95">
        <f t="shared" si="25"/>
        <v>0.83500000000000052</v>
      </c>
      <c r="L95">
        <f t="shared" si="26"/>
        <v>-20.33721235847387</v>
      </c>
      <c r="M95">
        <f t="shared" si="27"/>
        <v>-0.90124420835871166</v>
      </c>
      <c r="N95" s="3">
        <f t="shared" si="28"/>
        <v>-297402.39919430029</v>
      </c>
      <c r="O95" s="3">
        <f t="shared" si="29"/>
        <v>19.435968150115158</v>
      </c>
      <c r="P95" s="4">
        <f t="shared" si="30"/>
        <v>-2987.1689671429203</v>
      </c>
      <c r="Q95">
        <f t="shared" si="31"/>
        <v>0.84000000000000052</v>
      </c>
      <c r="R95">
        <f t="shared" si="32"/>
        <v>-59.811761586495116</v>
      </c>
      <c r="S95">
        <f t="shared" si="33"/>
        <v>-0.88893946075281716</v>
      </c>
      <c r="T95" s="3">
        <f t="shared" si="34"/>
        <v>-1564410.7729425358</v>
      </c>
      <c r="U95" s="3">
        <f t="shared" si="35"/>
        <v>58.9228221257423</v>
      </c>
      <c r="V95" s="4">
        <f t="shared" si="36"/>
        <v>-2997.571145225967</v>
      </c>
      <c r="W95">
        <f t="shared" si="37"/>
        <v>-0.35571788480523953</v>
      </c>
    </row>
    <row r="96" spans="1:23" x14ac:dyDescent="0.25">
      <c r="A96">
        <v>2.0249999999999999</v>
      </c>
      <c r="B96">
        <v>0.45666065315565424</v>
      </c>
      <c r="E96">
        <f t="shared" si="19"/>
        <v>0.84000000000000052</v>
      </c>
      <c r="F96">
        <f t="shared" si="20"/>
        <v>-0.35571788480523953</v>
      </c>
      <c r="G96" s="3">
        <f t="shared" si="21"/>
        <v>-0.88893946075281716</v>
      </c>
      <c r="H96" s="3">
        <f t="shared" si="22"/>
        <v>203036.23223447095</v>
      </c>
      <c r="I96" s="3">
        <f t="shared" si="23"/>
        <v>-0.53322157594757758</v>
      </c>
      <c r="J96" s="4">
        <f t="shared" si="24"/>
        <v>-19.883050434676754</v>
      </c>
      <c r="K96">
        <f t="shared" si="25"/>
        <v>0.84500000000000053</v>
      </c>
      <c r="L96">
        <f t="shared" si="26"/>
        <v>-17.156895502107108</v>
      </c>
      <c r="M96">
        <f t="shared" si="27"/>
        <v>-0.87663471314692276</v>
      </c>
      <c r="N96" s="3">
        <f t="shared" si="28"/>
        <v>-195324.27121078942</v>
      </c>
      <c r="O96" s="3">
        <f t="shared" si="29"/>
        <v>16.280260788960184</v>
      </c>
      <c r="P96" s="4">
        <f t="shared" si="30"/>
        <v>-3486.830306967518</v>
      </c>
      <c r="Q96">
        <f t="shared" si="31"/>
        <v>0.85000000000000053</v>
      </c>
      <c r="R96">
        <f t="shared" si="32"/>
        <v>-69.893493519808828</v>
      </c>
      <c r="S96">
        <f t="shared" si="33"/>
        <v>-0.86432996554102659</v>
      </c>
      <c r="T96" s="3">
        <f t="shared" si="34"/>
        <v>-1888002.5309536955</v>
      </c>
      <c r="U96" s="3">
        <f t="shared" si="35"/>
        <v>69.029163554267797</v>
      </c>
      <c r="V96" s="4">
        <f t="shared" si="36"/>
        <v>-3149.4979702757041</v>
      </c>
      <c r="W96">
        <f t="shared" si="37"/>
        <v>-0.39614108355991529</v>
      </c>
    </row>
    <row r="97" spans="1:23" x14ac:dyDescent="0.25">
      <c r="A97">
        <v>2.0499999999999998</v>
      </c>
      <c r="B97">
        <v>0.64158276528266733</v>
      </c>
      <c r="E97">
        <f t="shared" si="19"/>
        <v>0.85000000000000053</v>
      </c>
      <c r="F97">
        <f t="shared" si="20"/>
        <v>-0.39614108355991529</v>
      </c>
      <c r="G97" s="3">
        <f t="shared" si="21"/>
        <v>-0.86432996554102659</v>
      </c>
      <c r="H97" s="3">
        <f t="shared" si="22"/>
        <v>202596.02360003252</v>
      </c>
      <c r="I97" s="3">
        <f t="shared" si="23"/>
        <v>-0.4681888819811113</v>
      </c>
      <c r="J97" s="4">
        <f t="shared" si="24"/>
        <v>-16.394407130785158</v>
      </c>
      <c r="K97">
        <f t="shared" si="25"/>
        <v>0.85500000000000054</v>
      </c>
      <c r="L97">
        <f t="shared" si="26"/>
        <v>-14.413359180381233</v>
      </c>
      <c r="M97">
        <f t="shared" si="27"/>
        <v>-0.83606270898164647</v>
      </c>
      <c r="N97" s="3">
        <f t="shared" si="28"/>
        <v>-107265.41908229954</v>
      </c>
      <c r="O97" s="3">
        <f t="shared" si="29"/>
        <v>13.577296471399587</v>
      </c>
      <c r="P97" s="4">
        <f t="shared" si="30"/>
        <v>-4835.6538647114612</v>
      </c>
      <c r="Q97">
        <f t="shared" si="31"/>
        <v>0.86000000000000054</v>
      </c>
      <c r="R97">
        <f t="shared" si="32"/>
        <v>-96.945274306481281</v>
      </c>
      <c r="S97">
        <f t="shared" si="33"/>
        <v>-0.80779545242226647</v>
      </c>
      <c r="T97" s="3">
        <f t="shared" si="34"/>
        <v>-2756279.267529713</v>
      </c>
      <c r="U97" s="3">
        <f t="shared" si="35"/>
        <v>96.137478854059012</v>
      </c>
      <c r="V97" s="4">
        <f t="shared" si="36"/>
        <v>-3545.7724670623215</v>
      </c>
      <c r="W97">
        <f t="shared" si="37"/>
        <v>-0.43038517259180531</v>
      </c>
    </row>
    <row r="98" spans="1:23" x14ac:dyDescent="0.25">
      <c r="A98">
        <v>2.0750000000000002</v>
      </c>
      <c r="B98">
        <v>0.76638055628110668</v>
      </c>
      <c r="E98">
        <f t="shared" si="19"/>
        <v>0.86000000000000054</v>
      </c>
      <c r="F98">
        <f t="shared" si="20"/>
        <v>-0.43038517259180531</v>
      </c>
      <c r="G98" s="3">
        <f t="shared" si="21"/>
        <v>-0.80779545242226647</v>
      </c>
      <c r="H98" s="3">
        <f t="shared" si="22"/>
        <v>202223.10547047525</v>
      </c>
      <c r="I98" s="3">
        <f t="shared" si="23"/>
        <v>-0.37741027983046116</v>
      </c>
      <c r="J98" s="4">
        <f t="shared" si="24"/>
        <v>-11.88734318693623</v>
      </c>
      <c r="K98">
        <f t="shared" si="25"/>
        <v>0.86500000000000055</v>
      </c>
      <c r="L98">
        <f t="shared" si="26"/>
        <v>-10.71293702929165</v>
      </c>
      <c r="M98">
        <f t="shared" si="27"/>
        <v>-0.77952819586288646</v>
      </c>
      <c r="N98" s="3">
        <f t="shared" si="28"/>
        <v>11506.446424041056</v>
      </c>
      <c r="O98" s="3">
        <f t="shared" si="29"/>
        <v>9.9334088334287642</v>
      </c>
      <c r="P98" s="4">
        <f t="shared" si="30"/>
        <v>28209.879710319918</v>
      </c>
      <c r="Q98">
        <f t="shared" si="31"/>
        <v>0.87000000000000055</v>
      </c>
      <c r="R98">
        <f t="shared" si="32"/>
        <v>563.88608246567583</v>
      </c>
      <c r="S98">
        <f t="shared" si="33"/>
        <v>-0.75126093930350635</v>
      </c>
      <c r="T98" s="3">
        <f t="shared" si="34"/>
        <v>6347629.4380512098</v>
      </c>
      <c r="U98" s="3">
        <f t="shared" si="35"/>
        <v>-564.63734340497933</v>
      </c>
      <c r="V98" s="4">
        <f t="shared" si="36"/>
        <v>-21914.815539257706</v>
      </c>
      <c r="W98">
        <f t="shared" si="37"/>
        <v>-0.45664636744129078</v>
      </c>
    </row>
    <row r="99" spans="1:23" x14ac:dyDescent="0.25">
      <c r="A99">
        <v>2.1</v>
      </c>
      <c r="B99">
        <v>0.81992433849723234</v>
      </c>
      <c r="E99">
        <f t="shared" si="19"/>
        <v>0.87000000000000055</v>
      </c>
      <c r="F99">
        <f t="shared" si="20"/>
        <v>-0.45664636744129078</v>
      </c>
      <c r="G99" s="3">
        <f t="shared" si="21"/>
        <v>-0.75126093930350635</v>
      </c>
      <c r="H99" s="3">
        <f t="shared" si="22"/>
        <v>201937.12105856434</v>
      </c>
      <c r="I99" s="3">
        <f t="shared" si="23"/>
        <v>-0.29461457186221557</v>
      </c>
      <c r="J99" s="4">
        <f t="shared" si="24"/>
        <v>-8.2103214986105613</v>
      </c>
      <c r="K99">
        <f t="shared" si="25"/>
        <v>0.87500000000000056</v>
      </c>
      <c r="L99">
        <f t="shared" si="26"/>
        <v>-7.6406776787255364</v>
      </c>
      <c r="M99">
        <f t="shared" si="27"/>
        <v>-0.72299368274412479</v>
      </c>
      <c r="N99" s="3">
        <f t="shared" si="28"/>
        <v>110116.26970557994</v>
      </c>
      <c r="O99" s="3">
        <f t="shared" si="29"/>
        <v>6.9176839959814114</v>
      </c>
      <c r="P99" s="4">
        <f t="shared" si="30"/>
        <v>1713.1073430337037</v>
      </c>
      <c r="Q99">
        <f t="shared" si="31"/>
        <v>0.88000000000000056</v>
      </c>
      <c r="R99">
        <f t="shared" si="32"/>
        <v>33.88760370821889</v>
      </c>
      <c r="S99">
        <f t="shared" si="33"/>
        <v>-0.68144285745185651</v>
      </c>
      <c r="T99" s="3">
        <f t="shared" si="34"/>
        <v>575946.00438250368</v>
      </c>
      <c r="U99" s="3">
        <f t="shared" si="35"/>
        <v>-34.569046565670746</v>
      </c>
      <c r="V99" s="4">
        <f t="shared" si="36"/>
        <v>-3658.8476067911429</v>
      </c>
      <c r="W99">
        <f t="shared" si="37"/>
        <v>-0.47628593258635565</v>
      </c>
    </row>
    <row r="100" spans="1:23" x14ac:dyDescent="0.25">
      <c r="A100">
        <v>2.125</v>
      </c>
      <c r="B100">
        <v>0.79771510107955912</v>
      </c>
      <c r="E100">
        <f t="shared" si="19"/>
        <v>0.88000000000000056</v>
      </c>
      <c r="F100">
        <f t="shared" si="20"/>
        <v>-0.47628593258635565</v>
      </c>
      <c r="G100" s="3">
        <f t="shared" si="21"/>
        <v>-0.68144285745185651</v>
      </c>
      <c r="H100" s="3">
        <f t="shared" si="22"/>
        <v>201723.24619413458</v>
      </c>
      <c r="I100" s="3">
        <f t="shared" si="23"/>
        <v>-0.20515692486550086</v>
      </c>
      <c r="J100" s="4">
        <f t="shared" si="24"/>
        <v>-4.7760439133821508</v>
      </c>
      <c r="K100">
        <f t="shared" si="25"/>
        <v>0.88500000000000056</v>
      </c>
      <c r="L100">
        <f t="shared" si="26"/>
        <v>-4.7030847959295619</v>
      </c>
      <c r="M100">
        <f t="shared" si="27"/>
        <v>-0.63989203215958812</v>
      </c>
      <c r="N100" s="3">
        <f t="shared" si="28"/>
        <v>155693.40657232708</v>
      </c>
      <c r="O100" s="3">
        <f t="shared" si="29"/>
        <v>4.0631927637699734</v>
      </c>
      <c r="P100" s="4">
        <f t="shared" si="30"/>
        <v>545.41352969416312</v>
      </c>
      <c r="Q100">
        <f t="shared" si="31"/>
        <v>0.89000000000000057</v>
      </c>
      <c r="R100">
        <f t="shared" si="32"/>
        <v>10.479745100430728</v>
      </c>
      <c r="S100">
        <f t="shared" si="33"/>
        <v>-0.59834120686731984</v>
      </c>
      <c r="T100" s="3">
        <f t="shared" si="34"/>
        <v>321034.42414369062</v>
      </c>
      <c r="U100" s="3">
        <f t="shared" si="35"/>
        <v>-11.078086307298047</v>
      </c>
      <c r="V100" s="4">
        <f t="shared" si="36"/>
        <v>-1190.804593434734</v>
      </c>
      <c r="W100">
        <f t="shared" si="37"/>
        <v>-0.48950918800116872</v>
      </c>
    </row>
    <row r="101" spans="1:23" x14ac:dyDescent="0.25">
      <c r="A101">
        <v>2.15</v>
      </c>
      <c r="B101">
        <v>0.70225705068235933</v>
      </c>
      <c r="E101">
        <f t="shared" si="19"/>
        <v>0.89000000000000057</v>
      </c>
      <c r="F101">
        <f t="shared" si="20"/>
        <v>-0.48950918800116872</v>
      </c>
      <c r="G101" s="3">
        <f t="shared" si="21"/>
        <v>-0.59834120686731984</v>
      </c>
      <c r="H101" s="3">
        <f t="shared" si="22"/>
        <v>201579.24494266728</v>
      </c>
      <c r="I101" s="3">
        <f t="shared" si="23"/>
        <v>-0.10883201886615113</v>
      </c>
      <c r="J101" s="4">
        <f t="shared" si="24"/>
        <v>-1.8466483516422911</v>
      </c>
      <c r="K101">
        <f t="shared" si="25"/>
        <v>0.89500000000000057</v>
      </c>
      <c r="L101">
        <f t="shared" si="26"/>
        <v>-2.1422594627210203</v>
      </c>
      <c r="M101">
        <f t="shared" si="27"/>
        <v>-0.55679038157505145</v>
      </c>
      <c r="N101" s="3">
        <f t="shared" si="28"/>
        <v>183580.7944509681</v>
      </c>
      <c r="O101" s="3">
        <f t="shared" si="29"/>
        <v>1.5854690811459689</v>
      </c>
      <c r="P101" s="4">
        <f t="shared" si="30"/>
        <v>112.74684795690821</v>
      </c>
      <c r="Q101">
        <f t="shared" si="31"/>
        <v>0.90000000000000058</v>
      </c>
      <c r="R101">
        <f t="shared" si="32"/>
        <v>1.7838942546534184</v>
      </c>
      <c r="S101">
        <f t="shared" si="33"/>
        <v>-0.51523955628278206</v>
      </c>
      <c r="T101" s="3">
        <f t="shared" si="34"/>
        <v>226336.60843317572</v>
      </c>
      <c r="U101" s="3">
        <f t="shared" si="35"/>
        <v>-2.2991338109362003</v>
      </c>
      <c r="V101" s="4">
        <f t="shared" si="36"/>
        <v>-159.6932490531494</v>
      </c>
      <c r="W101">
        <f t="shared" si="37"/>
        <v>-0.49715760372487749</v>
      </c>
    </row>
    <row r="102" spans="1:23" x14ac:dyDescent="0.25">
      <c r="A102">
        <v>2.1749999999999998</v>
      </c>
      <c r="B102">
        <v>0.54278229458916116</v>
      </c>
      <c r="E102">
        <f t="shared" si="19"/>
        <v>0.90000000000000058</v>
      </c>
      <c r="F102">
        <f t="shared" si="20"/>
        <v>-0.49715760372487749</v>
      </c>
      <c r="G102" s="3">
        <f t="shared" si="21"/>
        <v>-0.51523955628278206</v>
      </c>
      <c r="H102" s="3">
        <f t="shared" si="22"/>
        <v>201495.9536954361</v>
      </c>
      <c r="I102" s="3">
        <f t="shared" si="23"/>
        <v>-1.8081952557904568E-2</v>
      </c>
      <c r="J102" s="4">
        <f t="shared" si="24"/>
        <v>-0.12511133185194601</v>
      </c>
      <c r="K102">
        <f t="shared" si="25"/>
        <v>0.90500000000000058</v>
      </c>
      <c r="L102">
        <f t="shared" si="26"/>
        <v>-0.6103833590508887</v>
      </c>
      <c r="M102">
        <f t="shared" si="27"/>
        <v>-0.46430478630840993</v>
      </c>
      <c r="N102" s="3">
        <f t="shared" si="28"/>
        <v>200262.92521993583</v>
      </c>
      <c r="O102" s="3">
        <f t="shared" si="29"/>
        <v>0.14607857274247876</v>
      </c>
      <c r="P102" s="4">
        <f t="shared" si="30"/>
        <v>2.8905082174696872</v>
      </c>
      <c r="Q102">
        <f t="shared" si="31"/>
        <v>0.91000000000000059</v>
      </c>
      <c r="R102">
        <f t="shared" si="32"/>
        <v>-0.4380963260569643</v>
      </c>
      <c r="S102">
        <f t="shared" si="33"/>
        <v>-0.41337001633403786</v>
      </c>
      <c r="T102" s="3">
        <f t="shared" si="34"/>
        <v>202139.13100923965</v>
      </c>
      <c r="U102" s="3">
        <f t="shared" si="35"/>
        <v>2.4726309722926443E-2</v>
      </c>
      <c r="V102" s="4">
        <f t="shared" si="36"/>
        <v>0.19942681421483172</v>
      </c>
      <c r="W102">
        <f t="shared" si="37"/>
        <v>-0.50115043788057689</v>
      </c>
    </row>
    <row r="103" spans="1:23" x14ac:dyDescent="0.25">
      <c r="A103">
        <v>2.2000000000000002</v>
      </c>
      <c r="B103">
        <v>0.33435737592286435</v>
      </c>
      <c r="E103">
        <f t="shared" si="19"/>
        <v>0.91000000000000059</v>
      </c>
      <c r="F103">
        <f t="shared" si="20"/>
        <v>-0.50115043788057689</v>
      </c>
      <c r="G103" s="3">
        <f t="shared" si="21"/>
        <v>-0.41337001633403786</v>
      </c>
      <c r="H103" s="3">
        <f t="shared" si="22"/>
        <v>201452.47173148053</v>
      </c>
      <c r="I103" s="3">
        <f t="shared" si="23"/>
        <v>8.7780421546539034E-2</v>
      </c>
      <c r="J103" s="4">
        <f t="shared" si="24"/>
        <v>1.3385015589656328</v>
      </c>
      <c r="K103">
        <f t="shared" si="25"/>
        <v>0.91500000000000059</v>
      </c>
      <c r="L103">
        <f t="shared" si="26"/>
        <v>0.72357848857297791</v>
      </c>
      <c r="M103">
        <f t="shared" si="27"/>
        <v>-0.36243524635966573</v>
      </c>
      <c r="N103" s="3">
        <f t="shared" si="28"/>
        <v>214789.76974055974</v>
      </c>
      <c r="O103" s="3">
        <f t="shared" si="29"/>
        <v>-1.0860137349326435</v>
      </c>
      <c r="P103" s="4">
        <f t="shared" si="30"/>
        <v>-54.630399053894585</v>
      </c>
      <c r="Q103">
        <f t="shared" si="31"/>
        <v>0.9200000000000006</v>
      </c>
      <c r="R103">
        <f t="shared" si="32"/>
        <v>-1.6071434345481248</v>
      </c>
      <c r="S103">
        <f t="shared" si="33"/>
        <v>-0.3115004763852936</v>
      </c>
      <c r="T103" s="3">
        <f t="shared" si="34"/>
        <v>189408.20799777092</v>
      </c>
      <c r="U103" s="3">
        <f t="shared" si="35"/>
        <v>1.2956429581628313</v>
      </c>
      <c r="V103" s="4">
        <f t="shared" si="36"/>
        <v>80.728001604046355</v>
      </c>
      <c r="W103">
        <f t="shared" si="37"/>
        <v>-0.50185500438534081</v>
      </c>
    </row>
    <row r="104" spans="1:23" x14ac:dyDescent="0.25">
      <c r="A104">
        <v>2.2250000000000001</v>
      </c>
      <c r="B104">
        <v>9.6458183534092745E-2</v>
      </c>
      <c r="E104">
        <f t="shared" si="19"/>
        <v>0.9200000000000006</v>
      </c>
      <c r="F104">
        <f t="shared" si="20"/>
        <v>-0.50185500438534081</v>
      </c>
      <c r="G104" s="3">
        <f t="shared" si="21"/>
        <v>-0.3115004763852936</v>
      </c>
      <c r="H104" s="3">
        <f t="shared" si="22"/>
        <v>201444.79900224364</v>
      </c>
      <c r="I104" s="3">
        <f t="shared" si="23"/>
        <v>0.19035452800004721</v>
      </c>
      <c r="J104" s="4">
        <f t="shared" si="24"/>
        <v>4.2744845075222422</v>
      </c>
      <c r="K104">
        <f t="shared" si="25"/>
        <v>0.9250000000000006</v>
      </c>
      <c r="L104">
        <f t="shared" si="26"/>
        <v>3.4520431650727357</v>
      </c>
      <c r="M104">
        <f t="shared" si="27"/>
        <v>-0.26056570641092097</v>
      </c>
      <c r="N104" s="3">
        <f t="shared" si="28"/>
        <v>244502.7500676421</v>
      </c>
      <c r="O104" s="3">
        <f t="shared" si="29"/>
        <v>-3.7126088714836567</v>
      </c>
      <c r="P104" s="4">
        <f t="shared" si="30"/>
        <v>-303.34024795725645</v>
      </c>
      <c r="Q104">
        <f t="shared" si="31"/>
        <v>0.9300000000000006</v>
      </c>
      <c r="R104">
        <f t="shared" si="32"/>
        <v>-6.611404808605692</v>
      </c>
      <c r="S104">
        <f t="shared" si="33"/>
        <v>-0.20500090462052337</v>
      </c>
      <c r="T104" s="3">
        <f t="shared" si="34"/>
        <v>134911.80163428403</v>
      </c>
      <c r="U104" s="3">
        <f t="shared" si="35"/>
        <v>6.4064039039851686</v>
      </c>
      <c r="V104" s="4">
        <f t="shared" si="36"/>
        <v>1246.1390933494797</v>
      </c>
      <c r="W104">
        <f t="shared" si="37"/>
        <v>-0.49680963642324411</v>
      </c>
    </row>
    <row r="105" spans="1:23" x14ac:dyDescent="0.25">
      <c r="A105">
        <v>2.25</v>
      </c>
      <c r="B105">
        <v>-0.14885181178449031</v>
      </c>
      <c r="E105">
        <f t="shared" si="19"/>
        <v>0.9300000000000006</v>
      </c>
      <c r="F105">
        <f t="shared" si="20"/>
        <v>-0.49680963642324411</v>
      </c>
      <c r="G105" s="3">
        <f t="shared" si="21"/>
        <v>-0.20500090462052337</v>
      </c>
      <c r="H105" s="3">
        <f t="shared" si="22"/>
        <v>201499.74305935088</v>
      </c>
      <c r="I105" s="3">
        <f t="shared" si="23"/>
        <v>0.29180873180272071</v>
      </c>
      <c r="J105" s="4">
        <f t="shared" si="24"/>
        <v>8.1108788885926337</v>
      </c>
      <c r="K105">
        <f t="shared" si="25"/>
        <v>0.93500000000000061</v>
      </c>
      <c r="L105">
        <f t="shared" si="26"/>
        <v>7.0868621244108736</v>
      </c>
      <c r="M105">
        <f t="shared" si="27"/>
        <v>-0.14943610283012576</v>
      </c>
      <c r="N105" s="3">
        <f t="shared" si="28"/>
        <v>284085.92853483441</v>
      </c>
      <c r="O105" s="3">
        <f t="shared" si="29"/>
        <v>-7.236298227240999</v>
      </c>
      <c r="P105" s="4">
        <f t="shared" si="30"/>
        <v>-710.42780620120038</v>
      </c>
      <c r="Q105">
        <f t="shared" si="31"/>
        <v>0.94000000000000061</v>
      </c>
      <c r="R105">
        <f t="shared" si="32"/>
        <v>-14.786474549333178</v>
      </c>
      <c r="S105">
        <f t="shared" si="33"/>
        <v>-9.3871301039728156E-2</v>
      </c>
      <c r="T105" s="3">
        <f t="shared" si="34"/>
        <v>-119241.24416659713</v>
      </c>
      <c r="U105" s="3">
        <f t="shared" si="35"/>
        <v>14.69260324829345</v>
      </c>
      <c r="V105" s="4">
        <f t="shared" si="36"/>
        <v>-4896.847921788547</v>
      </c>
      <c r="W105">
        <f t="shared" si="37"/>
        <v>-0.48444419779619008</v>
      </c>
    </row>
    <row r="106" spans="1:23" x14ac:dyDescent="0.25">
      <c r="A106">
        <v>2.2749999999999999</v>
      </c>
      <c r="B106">
        <v>-0.37896940846056282</v>
      </c>
      <c r="E106">
        <f t="shared" si="19"/>
        <v>0.94000000000000061</v>
      </c>
      <c r="F106">
        <f t="shared" si="20"/>
        <v>-0.48444419779619008</v>
      </c>
      <c r="G106" s="3">
        <f t="shared" si="21"/>
        <v>-9.3871301039728156E-2</v>
      </c>
      <c r="H106" s="3">
        <f t="shared" si="22"/>
        <v>201634.40268599949</v>
      </c>
      <c r="I106" s="3">
        <f t="shared" si="23"/>
        <v>0.3905728967564619</v>
      </c>
      <c r="J106" s="4">
        <f t="shared" si="24"/>
        <v>12.551149702871674</v>
      </c>
      <c r="K106">
        <f t="shared" si="25"/>
        <v>0.94500000000000062</v>
      </c>
      <c r="L106">
        <f t="shared" si="26"/>
        <v>11.376392271417551</v>
      </c>
      <c r="M106">
        <f t="shared" si="27"/>
        <v>-3.8306499249330557E-2</v>
      </c>
      <c r="N106" s="3">
        <f t="shared" si="28"/>
        <v>330798.91183573712</v>
      </c>
      <c r="O106" s="3">
        <f t="shared" si="29"/>
        <v>-11.414698770666881</v>
      </c>
      <c r="P106" s="4">
        <f t="shared" si="30"/>
        <v>-1208.7252623001921</v>
      </c>
      <c r="Q106">
        <f t="shared" si="31"/>
        <v>0.95000000000000062</v>
      </c>
      <c r="R106">
        <f t="shared" si="32"/>
        <v>-24.784460940828751</v>
      </c>
      <c r="S106">
        <f t="shared" si="33"/>
        <v>1.7258302541066976E-2</v>
      </c>
      <c r="T106" s="3">
        <f t="shared" si="34"/>
        <v>-440145.0347450003</v>
      </c>
      <c r="U106" s="3">
        <f t="shared" si="35"/>
        <v>24.801719243369817</v>
      </c>
      <c r="V106" s="4">
        <f t="shared" si="36"/>
        <v>-2909.5234510226101</v>
      </c>
      <c r="W106">
        <f t="shared" si="37"/>
        <v>-0.46375222778216441</v>
      </c>
    </row>
    <row r="107" spans="1:23" x14ac:dyDescent="0.25">
      <c r="A107">
        <v>2.2999999999999998</v>
      </c>
      <c r="B107">
        <v>-0.57283538226747643</v>
      </c>
      <c r="E107">
        <f t="shared" si="19"/>
        <v>0.95000000000000062</v>
      </c>
      <c r="F107">
        <f t="shared" si="20"/>
        <v>-0.46375222778216441</v>
      </c>
      <c r="G107" s="3">
        <f t="shared" si="21"/>
        <v>1.7258302541066976E-2</v>
      </c>
      <c r="H107" s="3">
        <f t="shared" si="22"/>
        <v>201859.73823945224</v>
      </c>
      <c r="I107" s="3">
        <f t="shared" si="23"/>
        <v>0.48101053032323138</v>
      </c>
      <c r="J107" s="4">
        <f t="shared" si="24"/>
        <v>17.134725797136714</v>
      </c>
      <c r="K107">
        <f t="shared" si="25"/>
        <v>0.95500000000000063</v>
      </c>
      <c r="L107">
        <f t="shared" si="26"/>
        <v>15.899910908483408</v>
      </c>
      <c r="M107">
        <f t="shared" si="27"/>
        <v>7.2289077066500965E-2</v>
      </c>
      <c r="N107" s="3">
        <f t="shared" si="28"/>
        <v>380060.02979338431</v>
      </c>
      <c r="O107" s="3">
        <f t="shared" si="29"/>
        <v>-15.827621831416907</v>
      </c>
      <c r="P107" s="4">
        <f t="shared" si="30"/>
        <v>-1717.7750408269826</v>
      </c>
      <c r="Q107">
        <f t="shared" si="31"/>
        <v>0.96000000000000063</v>
      </c>
      <c r="R107">
        <f t="shared" si="32"/>
        <v>-34.990600302293181</v>
      </c>
      <c r="S107">
        <f t="shared" si="33"/>
        <v>0.12731985159193496</v>
      </c>
      <c r="T107" s="3">
        <f t="shared" si="34"/>
        <v>-767729.8783342354</v>
      </c>
      <c r="U107" s="3">
        <f t="shared" si="35"/>
        <v>35.117920153885116</v>
      </c>
      <c r="V107" s="4">
        <f t="shared" si="36"/>
        <v>-2810.4749996265655</v>
      </c>
      <c r="W107">
        <f t="shared" si="37"/>
        <v>-0.43450022452050663</v>
      </c>
    </row>
    <row r="108" spans="1:23" x14ac:dyDescent="0.25">
      <c r="A108">
        <v>2.3250000000000002</v>
      </c>
      <c r="B108">
        <v>-0.71286186296876819</v>
      </c>
      <c r="E108">
        <f t="shared" si="19"/>
        <v>0.96000000000000063</v>
      </c>
      <c r="F108">
        <f t="shared" si="20"/>
        <v>-0.43450022452050663</v>
      </c>
      <c r="G108" s="3">
        <f t="shared" si="21"/>
        <v>0.12731985159193496</v>
      </c>
      <c r="H108" s="3">
        <f t="shared" si="22"/>
        <v>202178.29255497167</v>
      </c>
      <c r="I108" s="3">
        <f t="shared" si="23"/>
        <v>0.56182007611244156</v>
      </c>
      <c r="J108" s="4">
        <f t="shared" si="24"/>
        <v>21.595155986473866</v>
      </c>
      <c r="K108">
        <f t="shared" si="25"/>
        <v>0.96500000000000064</v>
      </c>
      <c r="L108">
        <f t="shared" si="26"/>
        <v>20.40482530242679</v>
      </c>
      <c r="M108">
        <f t="shared" si="27"/>
        <v>0.18235062611736894</v>
      </c>
      <c r="N108" s="3">
        <f t="shared" si="28"/>
        <v>429118.54754342773</v>
      </c>
      <c r="O108" s="3">
        <f t="shared" si="29"/>
        <v>-20.222474676309421</v>
      </c>
      <c r="P108" s="4">
        <f t="shared" si="30"/>
        <v>-2197.1977857790653</v>
      </c>
      <c r="Q108">
        <f t="shared" si="31"/>
        <v>0.97000000000000064</v>
      </c>
      <c r="R108">
        <f t="shared" si="32"/>
        <v>-44.59440749996655</v>
      </c>
      <c r="S108">
        <f t="shared" si="33"/>
        <v>0.23738140064280294</v>
      </c>
      <c r="T108" s="3">
        <f t="shared" si="34"/>
        <v>-1075981.7615673475</v>
      </c>
      <c r="U108" s="3">
        <f t="shared" si="35"/>
        <v>44.831788900609354</v>
      </c>
      <c r="V108" s="4">
        <f t="shared" si="36"/>
        <v>-2892.4721203759509</v>
      </c>
      <c r="W108">
        <f t="shared" si="37"/>
        <v>-0.39689699136786305</v>
      </c>
    </row>
    <row r="109" spans="1:23" x14ac:dyDescent="0.25">
      <c r="A109">
        <v>2.35</v>
      </c>
      <c r="B109">
        <v>-0.78652696888672424</v>
      </c>
      <c r="E109">
        <f t="shared" si="19"/>
        <v>0.97000000000000064</v>
      </c>
      <c r="F109">
        <f t="shared" si="20"/>
        <v>-0.39689699136786305</v>
      </c>
      <c r="G109" s="3">
        <f t="shared" si="21"/>
        <v>0.23738140064280294</v>
      </c>
      <c r="H109" s="3">
        <f t="shared" si="22"/>
        <v>202587.79176400398</v>
      </c>
      <c r="I109" s="3">
        <f t="shared" si="23"/>
        <v>0.63427839201066605</v>
      </c>
      <c r="J109" s="4">
        <f t="shared" si="24"/>
        <v>25.852443205650193</v>
      </c>
      <c r="K109">
        <f t="shared" si="25"/>
        <v>0.97500000000000064</v>
      </c>
      <c r="L109">
        <f t="shared" si="26"/>
        <v>24.80923513414109</v>
      </c>
      <c r="M109">
        <f t="shared" si="27"/>
        <v>0.2924121751682362</v>
      </c>
      <c r="N109" s="3">
        <f t="shared" si="28"/>
        <v>477082.57061079645</v>
      </c>
      <c r="O109" s="3">
        <f t="shared" si="29"/>
        <v>-24.516822958972853</v>
      </c>
      <c r="P109" s="4">
        <f t="shared" si="30"/>
        <v>-2638.1393041953615</v>
      </c>
      <c r="Q109">
        <f t="shared" si="31"/>
        <v>0.98000000000000065</v>
      </c>
      <c r="R109">
        <f t="shared" si="32"/>
        <v>-53.418207507331594</v>
      </c>
      <c r="S109">
        <f t="shared" si="33"/>
        <v>0.34181506995380256</v>
      </c>
      <c r="T109" s="3">
        <f t="shared" si="34"/>
        <v>-1359197.8771721632</v>
      </c>
      <c r="U109" s="3">
        <f t="shared" si="35"/>
        <v>53.760022577285397</v>
      </c>
      <c r="V109" s="4">
        <f t="shared" si="36"/>
        <v>-3006.7786969653203</v>
      </c>
      <c r="W109">
        <f t="shared" si="37"/>
        <v>-0.3512904797407348</v>
      </c>
    </row>
    <row r="110" spans="1:23" x14ac:dyDescent="0.25">
      <c r="A110">
        <v>2.375</v>
      </c>
      <c r="B110">
        <v>-0.78749221465441732</v>
      </c>
      <c r="E110">
        <f t="shared" si="19"/>
        <v>0.98000000000000065</v>
      </c>
      <c r="F110">
        <f t="shared" si="20"/>
        <v>-0.3512904797407348</v>
      </c>
      <c r="G110" s="3">
        <f t="shared" si="21"/>
        <v>0.34181506995380256</v>
      </c>
      <c r="H110" s="3">
        <f t="shared" si="22"/>
        <v>203084.44667562339</v>
      </c>
      <c r="I110" s="3">
        <f t="shared" si="23"/>
        <v>0.6931055496945373</v>
      </c>
      <c r="J110" s="4">
        <f t="shared" si="24"/>
        <v>29.458958518983621</v>
      </c>
      <c r="K110">
        <f t="shared" si="25"/>
        <v>0.98500000000000065</v>
      </c>
      <c r="L110">
        <f t="shared" si="26"/>
        <v>28.66578366145815</v>
      </c>
      <c r="M110">
        <f t="shared" si="27"/>
        <v>0.39121796473936893</v>
      </c>
      <c r="N110" s="3">
        <f t="shared" si="28"/>
        <v>519080.38407327927</v>
      </c>
      <c r="O110" s="3">
        <f t="shared" si="29"/>
        <v>-28.274565696718781</v>
      </c>
      <c r="P110" s="4">
        <f t="shared" si="30"/>
        <v>-3002.9927618564848</v>
      </c>
      <c r="Q110">
        <f t="shared" si="31"/>
        <v>0.99000000000000066</v>
      </c>
      <c r="R110">
        <f t="shared" si="32"/>
        <v>-60.705735302060269</v>
      </c>
      <c r="S110">
        <f t="shared" si="33"/>
        <v>0.44062085952493535</v>
      </c>
      <c r="T110" s="3">
        <f t="shared" si="34"/>
        <v>-1593104.5061372861</v>
      </c>
      <c r="U110" s="3">
        <f t="shared" si="35"/>
        <v>61.146356161585203</v>
      </c>
      <c r="V110" s="4">
        <f t="shared" si="36"/>
        <v>-3111.7635901267167</v>
      </c>
      <c r="W110">
        <f t="shared" si="37"/>
        <v>-0.29884972767829143</v>
      </c>
    </row>
    <row r="111" spans="1:23" x14ac:dyDescent="0.25">
      <c r="A111">
        <v>2.4</v>
      </c>
      <c r="B111">
        <v>-0.71614321513464962</v>
      </c>
      <c r="E111">
        <f t="shared" si="19"/>
        <v>0.99000000000000066</v>
      </c>
      <c r="F111">
        <f t="shared" si="20"/>
        <v>-0.29884972767829143</v>
      </c>
      <c r="G111" s="3">
        <f t="shared" si="21"/>
        <v>0.44062085952493535</v>
      </c>
      <c r="H111" s="3">
        <f t="shared" si="22"/>
        <v>203655.52646558342</v>
      </c>
      <c r="I111" s="3">
        <f t="shared" si="23"/>
        <v>0.73947058720322678</v>
      </c>
      <c r="J111" s="4">
        <f t="shared" si="24"/>
        <v>32.372791145003212</v>
      </c>
      <c r="K111">
        <f t="shared" si="25"/>
        <v>0.99500000000000066</v>
      </c>
      <c r="L111">
        <f t="shared" si="26"/>
        <v>31.912077461599925</v>
      </c>
      <c r="M111">
        <f t="shared" si="27"/>
        <v>0.49002375431050171</v>
      </c>
      <c r="N111" s="3">
        <f t="shared" si="28"/>
        <v>554432.52355682314</v>
      </c>
      <c r="O111" s="3">
        <f t="shared" si="29"/>
        <v>-31.422053707289422</v>
      </c>
      <c r="P111" s="4">
        <f t="shared" si="30"/>
        <v>-3293.8069373993208</v>
      </c>
      <c r="Q111">
        <f t="shared" si="31"/>
        <v>1.0000000000000007</v>
      </c>
      <c r="R111">
        <f t="shared" si="32"/>
        <v>-66.49871638711474</v>
      </c>
      <c r="S111">
        <f t="shared" si="33"/>
        <v>0.53942664909606675</v>
      </c>
      <c r="T111" s="3">
        <f t="shared" si="34"/>
        <v>-1779040.9053430555</v>
      </c>
      <c r="U111" s="3">
        <f t="shared" si="35"/>
        <v>67.038143036210812</v>
      </c>
      <c r="V111" s="4">
        <f t="shared" si="36"/>
        <v>-3198.8363192529596</v>
      </c>
      <c r="W111">
        <f t="shared" si="37"/>
        <v>-0.24072920632605596</v>
      </c>
    </row>
    <row r="112" spans="1:23" x14ac:dyDescent="0.25">
      <c r="A112">
        <v>2.4249999999999998</v>
      </c>
      <c r="B112">
        <v>-0.5795080484259002</v>
      </c>
      <c r="E112">
        <f t="shared" si="19"/>
        <v>1.0000000000000007</v>
      </c>
      <c r="F112">
        <f t="shared" si="20"/>
        <v>-0.24072920632605596</v>
      </c>
      <c r="G112" s="3">
        <f t="shared" si="21"/>
        <v>0.53942664909606675</v>
      </c>
      <c r="H112" s="3">
        <f t="shared" si="22"/>
        <v>204288.45894310926</v>
      </c>
      <c r="I112" s="3">
        <f t="shared" si="23"/>
        <v>0.78015585542212273</v>
      </c>
      <c r="J112" s="4">
        <f t="shared" si="24"/>
        <v>34.972221053696231</v>
      </c>
      <c r="K112">
        <f t="shared" si="25"/>
        <v>1.0050000000000006</v>
      </c>
      <c r="L112">
        <f t="shared" si="26"/>
        <v>34.90635295263867</v>
      </c>
      <c r="M112">
        <f t="shared" si="27"/>
        <v>0.57864985942668201</v>
      </c>
      <c r="N112" s="3">
        <f t="shared" si="28"/>
        <v>587040.18365423509</v>
      </c>
      <c r="O112" s="3">
        <f t="shared" si="29"/>
        <v>-34.327703093211987</v>
      </c>
      <c r="P112" s="4">
        <f t="shared" si="30"/>
        <v>-3552.174367810208</v>
      </c>
      <c r="Q112">
        <f t="shared" si="31"/>
        <v>1.0100000000000007</v>
      </c>
      <c r="R112">
        <f t="shared" si="32"/>
        <v>-71.633938773067186</v>
      </c>
      <c r="S112">
        <f t="shared" si="33"/>
        <v>0.61787306975729905</v>
      </c>
      <c r="T112" s="3">
        <f t="shared" si="34"/>
        <v>-1943865.3274403838</v>
      </c>
      <c r="U112" s="3">
        <f t="shared" si="35"/>
        <v>72.25181184282448</v>
      </c>
      <c r="V112" s="4">
        <f t="shared" si="36"/>
        <v>-3275.6834656918927</v>
      </c>
      <c r="W112">
        <f t="shared" si="37"/>
        <v>-0.17755471705745551</v>
      </c>
    </row>
    <row r="113" spans="1:23" x14ac:dyDescent="0.25">
      <c r="A113">
        <v>2.4500000000000002</v>
      </c>
      <c r="B113">
        <v>-0.39056528156965242</v>
      </c>
      <c r="E113">
        <f t="shared" si="19"/>
        <v>1.0100000000000007</v>
      </c>
      <c r="F113">
        <f t="shared" si="20"/>
        <v>-0.17755471705745551</v>
      </c>
      <c r="G113" s="3">
        <f t="shared" si="21"/>
        <v>0.61787306975729905</v>
      </c>
      <c r="H113" s="3">
        <f t="shared" si="22"/>
        <v>204976.42913124431</v>
      </c>
      <c r="I113" s="3">
        <f t="shared" si="23"/>
        <v>0.79542778681475457</v>
      </c>
      <c r="J113" s="4">
        <f t="shared" si="24"/>
        <v>35.88328568490374</v>
      </c>
      <c r="K113">
        <f t="shared" si="25"/>
        <v>1.0150000000000006</v>
      </c>
      <c r="L113">
        <f t="shared" si="26"/>
        <v>36.243980253119865</v>
      </c>
      <c r="M113">
        <f t="shared" si="27"/>
        <v>0.65709628008791432</v>
      </c>
      <c r="N113" s="3">
        <f t="shared" si="28"/>
        <v>601606.94495647529</v>
      </c>
      <c r="O113" s="3">
        <f t="shared" si="29"/>
        <v>-35.586883973031952</v>
      </c>
      <c r="P113" s="4">
        <f t="shared" si="30"/>
        <v>-3658.618204122195</v>
      </c>
      <c r="Q113">
        <f t="shared" si="31"/>
        <v>1.0200000000000007</v>
      </c>
      <c r="R113">
        <f t="shared" si="32"/>
        <v>-73.708751656350401</v>
      </c>
      <c r="S113">
        <f t="shared" si="33"/>
        <v>0.69631949041853125</v>
      </c>
      <c r="T113" s="3">
        <f t="shared" si="34"/>
        <v>-2010460.268953091</v>
      </c>
      <c r="U113" s="3">
        <f t="shared" si="35"/>
        <v>74.405071146768933</v>
      </c>
      <c r="V113" s="4">
        <f t="shared" si="36"/>
        <v>-3309.8117854770489</v>
      </c>
      <c r="W113">
        <f t="shared" si="37"/>
        <v>-0.11220806656466563</v>
      </c>
    </row>
    <row r="114" spans="1:23" x14ac:dyDescent="0.25">
      <c r="A114">
        <v>2.4750000000000001</v>
      </c>
      <c r="B114">
        <v>-0.16700976145866334</v>
      </c>
      <c r="E114">
        <f t="shared" si="19"/>
        <v>1.0200000000000007</v>
      </c>
      <c r="F114">
        <f t="shared" si="20"/>
        <v>-0.11220806656466563</v>
      </c>
      <c r="G114" s="3">
        <f t="shared" si="21"/>
        <v>0.69631949041853125</v>
      </c>
      <c r="H114" s="3">
        <f t="shared" si="22"/>
        <v>205688.05415511079</v>
      </c>
      <c r="I114" s="3">
        <f t="shared" si="23"/>
        <v>0.80852755698319689</v>
      </c>
      <c r="J114" s="4">
        <f t="shared" si="24"/>
        <v>36.646133435050459</v>
      </c>
      <c r="K114">
        <f t="shared" si="25"/>
        <v>1.0250000000000006</v>
      </c>
      <c r="L114">
        <f t="shared" si="26"/>
        <v>37.450078704362078</v>
      </c>
      <c r="M114">
        <f t="shared" si="27"/>
        <v>0.73554270074914474</v>
      </c>
      <c r="N114" s="3">
        <f t="shared" si="28"/>
        <v>614741.35709050298</v>
      </c>
      <c r="O114" s="3">
        <f t="shared" si="29"/>
        <v>-36.714536003612935</v>
      </c>
      <c r="P114" s="4">
        <f t="shared" si="30"/>
        <v>-3751.972296266757</v>
      </c>
      <c r="Q114">
        <f t="shared" si="31"/>
        <v>1.0300000000000007</v>
      </c>
      <c r="R114">
        <f t="shared" si="32"/>
        <v>-75.51811532625031</v>
      </c>
      <c r="S114">
        <f t="shared" si="33"/>
        <v>0.76099606031795686</v>
      </c>
      <c r="T114" s="3">
        <f t="shared" si="34"/>
        <v>-2068535.1289768678</v>
      </c>
      <c r="U114" s="3">
        <f t="shared" si="35"/>
        <v>76.27911138656826</v>
      </c>
      <c r="V114" s="4">
        <f t="shared" si="36"/>
        <v>-3339.1853430707351</v>
      </c>
      <c r="W114">
        <f t="shared" si="37"/>
        <v>-4.4959232734057303E-2</v>
      </c>
    </row>
    <row r="115" spans="1:23" x14ac:dyDescent="0.25">
      <c r="A115">
        <v>2.5</v>
      </c>
      <c r="B115">
        <v>7.0406327588584477E-2</v>
      </c>
      <c r="E115">
        <f t="shared" si="19"/>
        <v>1.0300000000000007</v>
      </c>
      <c r="F115">
        <f t="shared" si="20"/>
        <v>-4.4959232734057303E-2</v>
      </c>
      <c r="G115" s="3">
        <f t="shared" si="21"/>
        <v>0.76099606031795686</v>
      </c>
      <c r="H115" s="3">
        <f t="shared" si="22"/>
        <v>206420.39395552612</v>
      </c>
      <c r="I115" s="3">
        <f t="shared" si="23"/>
        <v>0.80595529305201419</v>
      </c>
      <c r="J115" s="4">
        <f t="shared" si="24"/>
        <v>36.341999134259268</v>
      </c>
      <c r="K115">
        <f t="shared" si="25"/>
        <v>1.0350000000000006</v>
      </c>
      <c r="L115">
        <f t="shared" si="26"/>
        <v>37.569009871224303</v>
      </c>
      <c r="M115">
        <f t="shared" si="27"/>
        <v>0.78644941988676786</v>
      </c>
      <c r="N115" s="3">
        <f t="shared" si="28"/>
        <v>616036.51749763265</v>
      </c>
      <c r="O115" s="3">
        <f t="shared" si="29"/>
        <v>-36.782560451337538</v>
      </c>
      <c r="P115" s="4">
        <f t="shared" si="30"/>
        <v>-3754.4944573409066</v>
      </c>
      <c r="Q115">
        <f t="shared" si="31"/>
        <v>1.0400000000000007</v>
      </c>
      <c r="R115">
        <f t="shared" si="32"/>
        <v>-75.498268370894792</v>
      </c>
      <c r="S115">
        <f t="shared" si="33"/>
        <v>0.81190277945557998</v>
      </c>
      <c r="T115" s="3">
        <f t="shared" si="34"/>
        <v>-2067898.1043845515</v>
      </c>
      <c r="U115" s="3">
        <f t="shared" si="35"/>
        <v>76.310171150350371</v>
      </c>
      <c r="V115" s="4">
        <f t="shared" si="36"/>
        <v>-3342.2543317231089</v>
      </c>
      <c r="W115">
        <f t="shared" si="37"/>
        <v>2.2206933254712569E-2</v>
      </c>
    </row>
    <row r="116" spans="1:23" x14ac:dyDescent="0.25">
      <c r="A116">
        <v>2.5249999999999999</v>
      </c>
      <c r="B116">
        <v>0.29980143828199501</v>
      </c>
      <c r="E116">
        <f t="shared" si="19"/>
        <v>1.0400000000000007</v>
      </c>
      <c r="F116">
        <f t="shared" si="20"/>
        <v>2.2206933254712569E-2</v>
      </c>
      <c r="G116" s="3">
        <f t="shared" si="21"/>
        <v>0.81190277945557998</v>
      </c>
      <c r="H116" s="3">
        <f t="shared" si="22"/>
        <v>207151.83350314383</v>
      </c>
      <c r="I116" s="3">
        <f t="shared" si="23"/>
        <v>0.78969584620086741</v>
      </c>
      <c r="J116" s="4">
        <f t="shared" si="24"/>
        <v>35.123354526056389</v>
      </c>
      <c r="K116">
        <f t="shared" si="25"/>
        <v>1.0450000000000006</v>
      </c>
      <c r="L116">
        <f t="shared" si="26"/>
        <v>36.72611241298366</v>
      </c>
      <c r="M116">
        <f t="shared" si="27"/>
        <v>0.83735613902439099</v>
      </c>
      <c r="N116" s="3">
        <f t="shared" si="28"/>
        <v>606857.3641773921</v>
      </c>
      <c r="O116" s="3">
        <f t="shared" si="29"/>
        <v>-35.888756273959267</v>
      </c>
      <c r="P116" s="4">
        <f t="shared" si="30"/>
        <v>-3673.2118291091651</v>
      </c>
      <c r="Q116">
        <f t="shared" si="31"/>
        <v>1.0500000000000007</v>
      </c>
      <c r="R116">
        <f t="shared" si="32"/>
        <v>-73.793263194189151</v>
      </c>
      <c r="S116">
        <f t="shared" si="33"/>
        <v>0.862809498593201</v>
      </c>
      <c r="T116" s="3">
        <f t="shared" si="34"/>
        <v>-2013172.8224391744</v>
      </c>
      <c r="U116" s="3">
        <f t="shared" si="35"/>
        <v>74.656072692782359</v>
      </c>
      <c r="V116" s="4">
        <f t="shared" si="36"/>
        <v>-3322.0918798270291</v>
      </c>
      <c r="W116">
        <f t="shared" si="37"/>
        <v>8.7766247555957827E-2</v>
      </c>
    </row>
    <row r="117" spans="1:23" x14ac:dyDescent="0.25">
      <c r="A117">
        <v>2.5499999999999998</v>
      </c>
      <c r="B117">
        <v>0.5001823954567296</v>
      </c>
      <c r="E117">
        <f t="shared" ref="E117:E180" si="38">E116+$J$8</f>
        <v>1.0500000000000007</v>
      </c>
      <c r="F117">
        <f t="shared" ref="F117:F180" si="39">W116</f>
        <v>8.7766247555957827E-2</v>
      </c>
      <c r="G117" s="3">
        <f t="shared" ref="G117:G180" si="40">LinInt(E117,$A$15:$A$415,$B$15:$B$415,TRUE)</f>
        <v>0.862809498593201</v>
      </c>
      <c r="H117" s="3">
        <f t="shared" ref="H117:H180" si="41">LinInt(F117,$A$9:$A$11,$C$9:$C$11,TRUE)</f>
        <v>207865.77443588438</v>
      </c>
      <c r="I117" s="3">
        <f t="shared" ref="I117:I180" si="42">G117-F117</f>
        <v>0.77504325103724314</v>
      </c>
      <c r="J117" s="4">
        <f t="shared" ref="J117:J180" si="43">(($B$2*$B$3*((ABS(I117))^1.5)*IF(I117&lt;=0,-1,1)+$B$4)*$K$3)/H117</f>
        <v>34.033052927450427</v>
      </c>
      <c r="K117">
        <f t="shared" ref="K117:K180" si="44">E117+$J$8/2</f>
        <v>1.0550000000000006</v>
      </c>
      <c r="L117">
        <f t="shared" ref="L117:L180" si="45">F117+J117*K117</f>
        <v>35.992637086016174</v>
      </c>
      <c r="M117">
        <f t="shared" ref="M117:M180" si="46">LinInt(K117,$A$15:$A$415,$B$15:$B$415,TRUE)</f>
        <v>0.87219312150056061</v>
      </c>
      <c r="N117" s="3">
        <f t="shared" ref="N117:N180" si="47">LinInt(L117,$A$9:$A$11,$C$9:$C$11,TRUE)</f>
        <v>598869.81786671618</v>
      </c>
      <c r="O117" s="3">
        <f t="shared" ref="O117:O180" si="48">M117-L117</f>
        <v>-35.120443964515616</v>
      </c>
      <c r="P117" s="4">
        <f t="shared" ref="P117:P180" si="49">(($B$2*$B$3*((ABS(O117))^1.5)*IF(O117&lt;=0,-1,1)+$B$4)*$K$3)/N117</f>
        <v>-3603.3177296472059</v>
      </c>
      <c r="Q117">
        <f t="shared" ref="Q117:Q180" si="50">E117+$J$8</f>
        <v>1.0600000000000007</v>
      </c>
      <c r="R117">
        <f t="shared" ref="R117:R180" si="51">F117-J117*$J$8+2*P117*$J$8</f>
        <v>-72.318918874662671</v>
      </c>
      <c r="S117">
        <f t="shared" ref="S117:S180" si="52">LinInt(Q117,$A$15:$A$415,$B$15:$B$415,TRUE)</f>
        <v>0.88157674440792055</v>
      </c>
      <c r="T117" s="3">
        <f t="shared" ref="T117:T180" si="53">LinInt(R117,$A$9:$A$11,$C$9:$C$11,TRUE)</f>
        <v>-1965851.0256065412</v>
      </c>
      <c r="U117" s="3">
        <f t="shared" ref="U117:U180" si="54">S117-R117</f>
        <v>73.200495619070594</v>
      </c>
      <c r="V117" s="4">
        <f t="shared" ref="V117:V180" si="55">(($B$2*$B$3*((ABS(U117))^1.5)*IF(U117&lt;=0,-1,1)+$B$4)*$K$3)/T117</f>
        <v>-3303.0520500367752</v>
      </c>
      <c r="W117">
        <f t="shared" ref="W117:W180" si="56">F117+(1/6)*(J117+4*M117+S117)*$J$8</f>
        <v>0.1517719178190588</v>
      </c>
    </row>
    <row r="118" spans="1:23" x14ac:dyDescent="0.25">
      <c r="A118">
        <v>2.5750000000000002</v>
      </c>
      <c r="B118">
        <v>0.65336573456795421</v>
      </c>
      <c r="E118">
        <f t="shared" si="38"/>
        <v>1.0600000000000007</v>
      </c>
      <c r="F118">
        <f t="shared" si="39"/>
        <v>0.1517719178190588</v>
      </c>
      <c r="G118" s="3">
        <f t="shared" si="40"/>
        <v>0.88157674440792055</v>
      </c>
      <c r="H118" s="3">
        <f t="shared" si="41"/>
        <v>208562.79618504955</v>
      </c>
      <c r="I118" s="3">
        <f t="shared" si="42"/>
        <v>0.7298048265888617</v>
      </c>
      <c r="J118" s="4">
        <f t="shared" si="43"/>
        <v>30.993330302954391</v>
      </c>
      <c r="K118">
        <f t="shared" si="44"/>
        <v>1.0650000000000006</v>
      </c>
      <c r="L118">
        <f t="shared" si="45"/>
        <v>33.159668690465509</v>
      </c>
      <c r="M118">
        <f t="shared" si="46"/>
        <v>0.89096036731528006</v>
      </c>
      <c r="N118" s="3">
        <f t="shared" si="47"/>
        <v>568018.79203916935</v>
      </c>
      <c r="O118" s="3">
        <f t="shared" si="48"/>
        <v>-32.268708323150229</v>
      </c>
      <c r="P118" s="4">
        <f t="shared" si="49"/>
        <v>-3345.8360548051137</v>
      </c>
      <c r="Q118">
        <f t="shared" si="50"/>
        <v>1.0700000000000007</v>
      </c>
      <c r="R118">
        <f t="shared" si="51"/>
        <v>-67.07488248131277</v>
      </c>
      <c r="S118">
        <f t="shared" si="52"/>
        <v>0.90034399022264</v>
      </c>
      <c r="T118" s="3">
        <f t="shared" si="53"/>
        <v>-1797534.0174949358</v>
      </c>
      <c r="U118" s="3">
        <f t="shared" si="54"/>
        <v>67.975226471535407</v>
      </c>
      <c r="V118" s="4">
        <f t="shared" si="55"/>
        <v>-3232.5396854504875</v>
      </c>
      <c r="W118">
        <f t="shared" si="56"/>
        <v>0.21086777742312238</v>
      </c>
    </row>
    <row r="119" spans="1:23" x14ac:dyDescent="0.25">
      <c r="A119">
        <v>2.6</v>
      </c>
      <c r="B119">
        <v>0.74562678499091706</v>
      </c>
      <c r="E119">
        <f t="shared" si="38"/>
        <v>1.0700000000000007</v>
      </c>
      <c r="F119">
        <f t="shared" si="39"/>
        <v>0.21086777742312238</v>
      </c>
      <c r="G119" s="3">
        <f t="shared" si="40"/>
        <v>0.90034399022264</v>
      </c>
      <c r="H119" s="3">
        <f t="shared" si="41"/>
        <v>209206.35009613782</v>
      </c>
      <c r="I119" s="3">
        <f t="shared" si="42"/>
        <v>0.68947621279951765</v>
      </c>
      <c r="J119" s="4">
        <f t="shared" si="43"/>
        <v>28.372594882349691</v>
      </c>
      <c r="K119">
        <f t="shared" si="44"/>
        <v>1.0750000000000006</v>
      </c>
      <c r="L119">
        <f t="shared" si="45"/>
        <v>30.711407275949057</v>
      </c>
      <c r="M119">
        <f t="shared" si="46"/>
        <v>0.90972761312999728</v>
      </c>
      <c r="N119" s="3">
        <f t="shared" si="47"/>
        <v>541357.22523508524</v>
      </c>
      <c r="O119" s="3">
        <f t="shared" si="48"/>
        <v>-29.801679662819058</v>
      </c>
      <c r="P119" s="4">
        <f t="shared" si="49"/>
        <v>-3115.8185914678065</v>
      </c>
      <c r="Q119">
        <f t="shared" si="50"/>
        <v>1.0800000000000007</v>
      </c>
      <c r="R119">
        <f t="shared" si="51"/>
        <v>-62.389230000756505</v>
      </c>
      <c r="S119">
        <f t="shared" si="52"/>
        <v>0.90223950076930937</v>
      </c>
      <c r="T119" s="3">
        <f t="shared" si="53"/>
        <v>-1647139.3696663866</v>
      </c>
      <c r="U119" s="3">
        <f t="shared" si="54"/>
        <v>63.291469501525818</v>
      </c>
      <c r="V119" s="4">
        <f t="shared" si="55"/>
        <v>-3169.4390876771563</v>
      </c>
      <c r="W119">
        <f t="shared" si="56"/>
        <v>0.26572401881585406</v>
      </c>
    </row>
    <row r="120" spans="1:23" x14ac:dyDescent="0.25">
      <c r="A120">
        <v>2.625</v>
      </c>
      <c r="B120">
        <v>0.76892703572843701</v>
      </c>
      <c r="E120">
        <f t="shared" si="38"/>
        <v>1.0800000000000007</v>
      </c>
      <c r="F120">
        <f t="shared" si="39"/>
        <v>0.26572401881585406</v>
      </c>
      <c r="G120" s="3">
        <f t="shared" si="40"/>
        <v>0.90223950076930937</v>
      </c>
      <c r="H120" s="3">
        <f t="shared" si="41"/>
        <v>209803.73456490465</v>
      </c>
      <c r="I120" s="3">
        <f t="shared" si="42"/>
        <v>0.63651548195345531</v>
      </c>
      <c r="J120" s="4">
        <f t="shared" si="43"/>
        <v>25.095464074156048</v>
      </c>
      <c r="K120">
        <f t="shared" si="44"/>
        <v>1.0850000000000006</v>
      </c>
      <c r="L120">
        <f t="shared" si="45"/>
        <v>27.494302539275182</v>
      </c>
      <c r="M120">
        <f t="shared" si="46"/>
        <v>0.89475138840862189</v>
      </c>
      <c r="N120" s="3">
        <f t="shared" si="47"/>
        <v>506322.95465270674</v>
      </c>
      <c r="O120" s="3">
        <f t="shared" si="48"/>
        <v>-26.59955115086656</v>
      </c>
      <c r="P120" s="4">
        <f t="shared" si="49"/>
        <v>-2809.175253134687</v>
      </c>
      <c r="Q120">
        <f t="shared" si="50"/>
        <v>1.0900000000000007</v>
      </c>
      <c r="R120">
        <f t="shared" si="51"/>
        <v>-56.168735684619449</v>
      </c>
      <c r="S120">
        <f t="shared" si="52"/>
        <v>0.88726327604793398</v>
      </c>
      <c r="T120" s="3">
        <f t="shared" si="53"/>
        <v>-1447481.1457846486</v>
      </c>
      <c r="U120" s="3">
        <f t="shared" si="54"/>
        <v>57.055998960667381</v>
      </c>
      <c r="V120" s="4">
        <f t="shared" si="55"/>
        <v>-3086.981617862868</v>
      </c>
      <c r="W120">
        <f t="shared" si="56"/>
        <v>0.31499357365558484</v>
      </c>
    </row>
    <row r="121" spans="1:23" x14ac:dyDescent="0.25">
      <c r="A121">
        <v>2.65</v>
      </c>
      <c r="B121">
        <v>0.72161025424534864</v>
      </c>
      <c r="E121">
        <f t="shared" si="38"/>
        <v>1.0900000000000007</v>
      </c>
      <c r="F121">
        <f t="shared" si="39"/>
        <v>0.31499357365558484</v>
      </c>
      <c r="G121" s="3">
        <f t="shared" si="40"/>
        <v>0.88726327604793398</v>
      </c>
      <c r="H121" s="3">
        <f t="shared" si="41"/>
        <v>210340.28001710933</v>
      </c>
      <c r="I121" s="3">
        <f t="shared" si="42"/>
        <v>0.57226970239234909</v>
      </c>
      <c r="J121" s="4">
        <f t="shared" si="43"/>
        <v>21.338980736222236</v>
      </c>
      <c r="K121">
        <f t="shared" si="44"/>
        <v>1.0950000000000006</v>
      </c>
      <c r="L121">
        <f t="shared" si="45"/>
        <v>23.681177479818945</v>
      </c>
      <c r="M121">
        <f t="shared" si="46"/>
        <v>0.87977516368724651</v>
      </c>
      <c r="N121" s="3">
        <f t="shared" si="47"/>
        <v>464798.02275522833</v>
      </c>
      <c r="O121" s="3">
        <f t="shared" si="48"/>
        <v>-22.8014023161317</v>
      </c>
      <c r="P121" s="4">
        <f t="shared" si="49"/>
        <v>-2428.6954146623957</v>
      </c>
      <c r="Q121">
        <f t="shared" si="50"/>
        <v>1.1000000000000008</v>
      </c>
      <c r="R121">
        <f t="shared" si="51"/>
        <v>-48.472304526954552</v>
      </c>
      <c r="S121">
        <f t="shared" si="52"/>
        <v>0.87228705132655648</v>
      </c>
      <c r="T121" s="3">
        <f t="shared" si="53"/>
        <v>-1200450.0101430507</v>
      </c>
      <c r="U121" s="3">
        <f t="shared" si="54"/>
        <v>49.344591578281111</v>
      </c>
      <c r="V121" s="4">
        <f t="shared" si="55"/>
        <v>-2993.7135770465316</v>
      </c>
      <c r="W121">
        <f t="shared" si="56"/>
        <v>0.35787752105941445</v>
      </c>
    </row>
    <row r="122" spans="1:23" x14ac:dyDescent="0.25">
      <c r="A122">
        <v>2.6749999999999998</v>
      </c>
      <c r="B122">
        <v>0.60850751344885667</v>
      </c>
      <c r="E122">
        <f t="shared" si="38"/>
        <v>1.1000000000000008</v>
      </c>
      <c r="F122">
        <f t="shared" si="39"/>
        <v>0.35787752105941445</v>
      </c>
      <c r="G122" s="3">
        <f t="shared" si="40"/>
        <v>0.87228705132655648</v>
      </c>
      <c r="H122" s="3">
        <f t="shared" si="41"/>
        <v>210807.28620433703</v>
      </c>
      <c r="I122" s="3">
        <f t="shared" si="42"/>
        <v>0.51440953026714209</v>
      </c>
      <c r="J122" s="4">
        <f t="shared" si="43"/>
        <v>18.145664634703795</v>
      </c>
      <c r="K122">
        <f t="shared" si="44"/>
        <v>1.1050000000000006</v>
      </c>
      <c r="L122">
        <f t="shared" si="45"/>
        <v>20.40883694240712</v>
      </c>
      <c r="M122">
        <f t="shared" si="46"/>
        <v>0.84869094399231293</v>
      </c>
      <c r="N122" s="3">
        <f t="shared" si="47"/>
        <v>429162.23430281354</v>
      </c>
      <c r="O122" s="3">
        <f t="shared" si="48"/>
        <v>-19.560145998414807</v>
      </c>
      <c r="P122" s="4">
        <f t="shared" si="49"/>
        <v>-2089.9294651961673</v>
      </c>
      <c r="Q122">
        <f t="shared" si="50"/>
        <v>1.1100000000000008</v>
      </c>
      <c r="R122">
        <f t="shared" si="51"/>
        <v>-41.622168429210966</v>
      </c>
      <c r="S122">
        <f t="shared" si="52"/>
        <v>0.82509483665806826</v>
      </c>
      <c r="T122" s="3">
        <f t="shared" si="53"/>
        <v>-980582.27341421135</v>
      </c>
      <c r="U122" s="3">
        <f t="shared" si="54"/>
        <v>42.447263265869033</v>
      </c>
      <c r="V122" s="4">
        <f t="shared" si="55"/>
        <v>-2924.0547014936287</v>
      </c>
      <c r="W122">
        <f t="shared" si="56"/>
        <v>0.39515339313829967</v>
      </c>
    </row>
    <row r="123" spans="1:23" x14ac:dyDescent="0.25">
      <c r="A123">
        <v>2.7</v>
      </c>
      <c r="B123">
        <v>0.44044606576547629</v>
      </c>
      <c r="E123">
        <f t="shared" si="38"/>
        <v>1.1100000000000008</v>
      </c>
      <c r="F123">
        <f t="shared" si="39"/>
        <v>0.39515339313829967</v>
      </c>
      <c r="G123" s="3">
        <f t="shared" si="40"/>
        <v>0.82509483665806826</v>
      </c>
      <c r="H123" s="3">
        <f t="shared" si="41"/>
        <v>211213.22045127608</v>
      </c>
      <c r="I123" s="3">
        <f t="shared" si="42"/>
        <v>0.4299414435197686</v>
      </c>
      <c r="J123" s="4">
        <f t="shared" si="43"/>
        <v>13.838462953410216</v>
      </c>
      <c r="K123">
        <f t="shared" si="44"/>
        <v>1.1150000000000007</v>
      </c>
      <c r="L123">
        <f t="shared" si="45"/>
        <v>15.8250395861907</v>
      </c>
      <c r="M123">
        <f t="shared" si="46"/>
        <v>0.80149872932382471</v>
      </c>
      <c r="N123" s="3">
        <f t="shared" si="47"/>
        <v>379244.6810936167</v>
      </c>
      <c r="O123" s="3">
        <f t="shared" si="48"/>
        <v>-15.023540856866875</v>
      </c>
      <c r="P123" s="4">
        <f t="shared" si="49"/>
        <v>-1591.9665697689109</v>
      </c>
      <c r="Q123">
        <f t="shared" si="50"/>
        <v>1.1200000000000008</v>
      </c>
      <c r="R123">
        <f t="shared" si="51"/>
        <v>-31.582562631774021</v>
      </c>
      <c r="S123">
        <f t="shared" si="52"/>
        <v>0.77790262198958016</v>
      </c>
      <c r="T123" s="3">
        <f t="shared" si="53"/>
        <v>-658342.63133479306</v>
      </c>
      <c r="U123" s="3">
        <f t="shared" si="54"/>
        <v>32.3604652537636</v>
      </c>
      <c r="V123" s="4">
        <f t="shared" si="55"/>
        <v>-2899.1130105506759</v>
      </c>
      <c r="W123">
        <f t="shared" si="56"/>
        <v>0.42485732729279146</v>
      </c>
    </row>
    <row r="124" spans="1:23" x14ac:dyDescent="0.25">
      <c r="A124">
        <v>2.7250000000000001</v>
      </c>
      <c r="B124">
        <v>0.23321180542478845</v>
      </c>
      <c r="E124">
        <f t="shared" si="38"/>
        <v>1.1200000000000008</v>
      </c>
      <c r="F124">
        <f t="shared" si="39"/>
        <v>0.42485732729279146</v>
      </c>
      <c r="G124" s="3">
        <f t="shared" si="40"/>
        <v>0.77790262198958016</v>
      </c>
      <c r="H124" s="3">
        <f t="shared" si="41"/>
        <v>211536.69629421851</v>
      </c>
      <c r="I124" s="3">
        <f t="shared" si="42"/>
        <v>0.35304529469678869</v>
      </c>
      <c r="J124" s="4">
        <f t="shared" si="43"/>
        <v>10.281462898264472</v>
      </c>
      <c r="K124">
        <f t="shared" si="44"/>
        <v>1.1250000000000007</v>
      </c>
      <c r="L124">
        <f t="shared" si="45"/>
        <v>11.991503087840329</v>
      </c>
      <c r="M124">
        <f t="shared" si="46"/>
        <v>0.75430651465533471</v>
      </c>
      <c r="N124" s="3">
        <f t="shared" si="47"/>
        <v>337497.46862658119</v>
      </c>
      <c r="O124" s="3">
        <f t="shared" si="48"/>
        <v>-11.237196573184994</v>
      </c>
      <c r="P124" s="4">
        <f t="shared" si="49"/>
        <v>-1157.208022675901</v>
      </c>
      <c r="Q124">
        <f t="shared" si="50"/>
        <v>1.1300000000000008</v>
      </c>
      <c r="R124">
        <f t="shared" si="51"/>
        <v>-22.822117755207877</v>
      </c>
      <c r="S124">
        <f t="shared" si="52"/>
        <v>0.7168543200286801</v>
      </c>
      <c r="T124" s="3">
        <f t="shared" si="53"/>
        <v>-377160.01535978797</v>
      </c>
      <c r="U124" s="3">
        <f t="shared" si="54"/>
        <v>23.538972075236558</v>
      </c>
      <c r="V124" s="4">
        <f t="shared" si="55"/>
        <v>-3139.4284117560533</v>
      </c>
      <c r="W124">
        <f t="shared" si="56"/>
        <v>0.44821656608764893</v>
      </c>
    </row>
    <row r="125" spans="1:23" x14ac:dyDescent="0.25">
      <c r="A125">
        <v>2.75</v>
      </c>
      <c r="B125">
        <v>6.0648408832433276E-3</v>
      </c>
      <c r="E125">
        <f t="shared" si="38"/>
        <v>1.1300000000000008</v>
      </c>
      <c r="F125">
        <f t="shared" si="39"/>
        <v>0.44821656608764893</v>
      </c>
      <c r="G125" s="3">
        <f t="shared" si="40"/>
        <v>0.7168543200286801</v>
      </c>
      <c r="H125" s="3">
        <f t="shared" si="41"/>
        <v>211791.0784046945</v>
      </c>
      <c r="I125" s="3">
        <f t="shared" si="42"/>
        <v>0.26863775394103118</v>
      </c>
      <c r="J125" s="4">
        <f t="shared" si="43"/>
        <v>6.8161305256869777</v>
      </c>
      <c r="K125">
        <f t="shared" si="44"/>
        <v>1.1350000000000007</v>
      </c>
      <c r="L125">
        <f t="shared" si="45"/>
        <v>8.1845247127423733</v>
      </c>
      <c r="M125">
        <f t="shared" si="46"/>
        <v>0.67940212540202727</v>
      </c>
      <c r="N125" s="3">
        <f t="shared" si="47"/>
        <v>296039.47412176442</v>
      </c>
      <c r="O125" s="3">
        <f t="shared" si="48"/>
        <v>-7.5051225873403462</v>
      </c>
      <c r="P125" s="4">
        <f t="shared" si="49"/>
        <v>-720.08215754521234</v>
      </c>
      <c r="Q125">
        <f t="shared" si="50"/>
        <v>1.1400000000000008</v>
      </c>
      <c r="R125">
        <f t="shared" si="51"/>
        <v>-14.021587890073468</v>
      </c>
      <c r="S125">
        <f t="shared" si="52"/>
        <v>0.64194993077537266</v>
      </c>
      <c r="T125" s="3">
        <f t="shared" si="53"/>
        <v>-94690.797835915975</v>
      </c>
      <c r="U125" s="3">
        <f t="shared" si="54"/>
        <v>14.663537820848841</v>
      </c>
      <c r="V125" s="4">
        <f t="shared" si="55"/>
        <v>-6148.1627910462284</v>
      </c>
      <c r="W125">
        <f t="shared" si="56"/>
        <v>0.46517604768443305</v>
      </c>
    </row>
    <row r="126" spans="1:23" x14ac:dyDescent="0.25">
      <c r="A126">
        <v>2.7749999999999999</v>
      </c>
      <c r="B126">
        <v>-0.22005207530762214</v>
      </c>
      <c r="E126">
        <f t="shared" si="38"/>
        <v>1.1400000000000008</v>
      </c>
      <c r="F126">
        <f t="shared" si="39"/>
        <v>0.46517604768443305</v>
      </c>
      <c r="G126" s="3">
        <f t="shared" si="40"/>
        <v>0.64194993077537266</v>
      </c>
      <c r="H126" s="3">
        <f t="shared" si="41"/>
        <v>211975.76715928348</v>
      </c>
      <c r="I126" s="3">
        <f t="shared" si="42"/>
        <v>0.17677388309093961</v>
      </c>
      <c r="J126" s="4">
        <f t="shared" si="43"/>
        <v>3.6352637494438054</v>
      </c>
      <c r="K126">
        <f t="shared" si="44"/>
        <v>1.1450000000000007</v>
      </c>
      <c r="L126">
        <f t="shared" si="45"/>
        <v>4.6275530407975927</v>
      </c>
      <c r="M126">
        <f t="shared" si="46"/>
        <v>0.60449773614871982</v>
      </c>
      <c r="N126" s="3">
        <f t="shared" si="47"/>
        <v>257304.05261428579</v>
      </c>
      <c r="O126" s="3">
        <f t="shared" si="48"/>
        <v>-4.0230553046488726</v>
      </c>
      <c r="P126" s="4">
        <f t="shared" si="49"/>
        <v>-325.14895775158283</v>
      </c>
      <c r="Q126">
        <f t="shared" si="50"/>
        <v>1.1500000000000008</v>
      </c>
      <c r="R126">
        <f t="shared" si="51"/>
        <v>-6.0741557448416614</v>
      </c>
      <c r="S126">
        <f t="shared" si="52"/>
        <v>0.56704554152206343</v>
      </c>
      <c r="T126" s="3">
        <f t="shared" si="53"/>
        <v>140762.44393867432</v>
      </c>
      <c r="U126" s="3">
        <f t="shared" si="54"/>
        <v>6.6412012863637244</v>
      </c>
      <c r="V126" s="4">
        <f t="shared" si="55"/>
        <v>1260.6024737758814</v>
      </c>
      <c r="W126">
        <f t="shared" si="56"/>
        <v>0.47620988141036763</v>
      </c>
    </row>
    <row r="127" spans="1:23" x14ac:dyDescent="0.25">
      <c r="A127">
        <v>2.8</v>
      </c>
      <c r="B127">
        <v>-0.42444545777144693</v>
      </c>
      <c r="E127">
        <f t="shared" si="38"/>
        <v>1.1500000000000008</v>
      </c>
      <c r="F127">
        <f t="shared" si="39"/>
        <v>0.47620988141036763</v>
      </c>
      <c r="G127" s="3">
        <f t="shared" si="40"/>
        <v>0.56704554152206343</v>
      </c>
      <c r="H127" s="3">
        <f t="shared" si="41"/>
        <v>212095.9256085589</v>
      </c>
      <c r="I127" s="3">
        <f t="shared" si="42"/>
        <v>9.0835660111695804E-2</v>
      </c>
      <c r="J127" s="4">
        <f t="shared" si="43"/>
        <v>1.3382807395958702</v>
      </c>
      <c r="K127">
        <f t="shared" si="44"/>
        <v>1.1550000000000007</v>
      </c>
      <c r="L127">
        <f t="shared" si="45"/>
        <v>2.0219241356435984</v>
      </c>
      <c r="M127">
        <f t="shared" si="46"/>
        <v>0.51926219028026133</v>
      </c>
      <c r="N127" s="3">
        <f t="shared" si="47"/>
        <v>228928.75383715879</v>
      </c>
      <c r="O127" s="3">
        <f t="shared" si="48"/>
        <v>-1.5026619453633372</v>
      </c>
      <c r="P127" s="4">
        <f t="shared" si="49"/>
        <v>-83.423148465638675</v>
      </c>
      <c r="Q127">
        <f t="shared" si="50"/>
        <v>1.1600000000000008</v>
      </c>
      <c r="R127">
        <f t="shared" si="51"/>
        <v>-1.2056358952983646</v>
      </c>
      <c r="S127">
        <f t="shared" si="52"/>
        <v>0.47147883903845716</v>
      </c>
      <c r="T127" s="3">
        <f t="shared" si="53"/>
        <v>193780.62510020082</v>
      </c>
      <c r="U127" s="3">
        <f t="shared" si="54"/>
        <v>1.6771147343368218</v>
      </c>
      <c r="V127" s="4">
        <f t="shared" si="55"/>
        <v>116.20606565655028</v>
      </c>
      <c r="W127">
        <f t="shared" si="56"/>
        <v>0.48268789530995992</v>
      </c>
    </row>
    <row r="128" spans="1:23" x14ac:dyDescent="0.25">
      <c r="A128">
        <v>2.8250000000000002</v>
      </c>
      <c r="B128">
        <v>-0.58856502941300792</v>
      </c>
      <c r="E128">
        <f t="shared" si="38"/>
        <v>1.1600000000000008</v>
      </c>
      <c r="F128">
        <f t="shared" si="39"/>
        <v>0.48268789530995992</v>
      </c>
      <c r="G128" s="3">
        <f t="shared" si="40"/>
        <v>0.47147883903845716</v>
      </c>
      <c r="H128" s="3">
        <f t="shared" si="41"/>
        <v>212166.47117992546</v>
      </c>
      <c r="I128" s="3">
        <f t="shared" si="42"/>
        <v>-1.120905627150276E-2</v>
      </c>
      <c r="J128" s="4">
        <f t="shared" si="43"/>
        <v>-5.7992497109946951E-2</v>
      </c>
      <c r="K128">
        <f t="shared" si="44"/>
        <v>1.1650000000000007</v>
      </c>
      <c r="L128">
        <f t="shared" si="45"/>
        <v>0.41512663617687168</v>
      </c>
      <c r="M128">
        <f t="shared" si="46"/>
        <v>0.42369548779665511</v>
      </c>
      <c r="N128" s="3">
        <f t="shared" si="47"/>
        <v>211430.72906796614</v>
      </c>
      <c r="O128" s="3">
        <f t="shared" si="48"/>
        <v>8.5688516197834352E-3</v>
      </c>
      <c r="P128" s="4">
        <f t="shared" si="49"/>
        <v>3.8896526042150034E-2</v>
      </c>
      <c r="Q128">
        <f t="shared" si="50"/>
        <v>1.1700000000000008</v>
      </c>
      <c r="R128">
        <f t="shared" si="51"/>
        <v>0.48404575080190243</v>
      </c>
      <c r="S128">
        <f t="shared" si="52"/>
        <v>0.37591213655485095</v>
      </c>
      <c r="T128" s="3">
        <f t="shared" si="53"/>
        <v>212181.25822623272</v>
      </c>
      <c r="U128" s="3">
        <f t="shared" si="54"/>
        <v>-0.10813361424705148</v>
      </c>
      <c r="V128" s="4">
        <f t="shared" si="55"/>
        <v>-1.7375169368455241</v>
      </c>
      <c r="W128">
        <f t="shared" si="56"/>
        <v>0.48604239796101245</v>
      </c>
    </row>
    <row r="129" spans="1:23" x14ac:dyDescent="0.25">
      <c r="A129">
        <v>2.85</v>
      </c>
      <c r="B129">
        <v>-0.69768633841358207</v>
      </c>
      <c r="E129">
        <f t="shared" si="38"/>
        <v>1.1700000000000008</v>
      </c>
      <c r="F129">
        <f t="shared" si="39"/>
        <v>0.48604239796101245</v>
      </c>
      <c r="G129" s="3">
        <f t="shared" si="40"/>
        <v>0.37591213655485095</v>
      </c>
      <c r="H129" s="3">
        <f t="shared" si="41"/>
        <v>212203.00171379541</v>
      </c>
      <c r="I129" s="3">
        <f t="shared" si="42"/>
        <v>-0.1101302614061615</v>
      </c>
      <c r="J129" s="4">
        <f t="shared" si="43"/>
        <v>-1.7856793267466267</v>
      </c>
      <c r="K129">
        <f t="shared" si="44"/>
        <v>1.1750000000000007</v>
      </c>
      <c r="L129">
        <f t="shared" si="45"/>
        <v>-1.6121308109662751</v>
      </c>
      <c r="M129">
        <f t="shared" si="46"/>
        <v>0.32812878531304812</v>
      </c>
      <c r="N129" s="3">
        <f t="shared" si="47"/>
        <v>189353.89546857728</v>
      </c>
      <c r="O129" s="3">
        <f t="shared" si="48"/>
        <v>1.9402595962793232</v>
      </c>
      <c r="P129" s="4">
        <f t="shared" si="49"/>
        <v>147.98254928360825</v>
      </c>
      <c r="Q129">
        <f t="shared" si="50"/>
        <v>1.1800000000000008</v>
      </c>
      <c r="R129">
        <f t="shared" si="51"/>
        <v>3.463550176900644</v>
      </c>
      <c r="S129">
        <f t="shared" si="52"/>
        <v>0.27448009026812165</v>
      </c>
      <c r="T129" s="3">
        <f t="shared" si="53"/>
        <v>244628.06142644802</v>
      </c>
      <c r="U129" s="3">
        <f t="shared" si="54"/>
        <v>-3.1890700866325226</v>
      </c>
      <c r="V129" s="4">
        <f t="shared" si="55"/>
        <v>-241.37084489614574</v>
      </c>
      <c r="W129">
        <f t="shared" si="56"/>
        <v>0.48571125780230195</v>
      </c>
    </row>
    <row r="130" spans="1:23" x14ac:dyDescent="0.25">
      <c r="A130">
        <v>2.875</v>
      </c>
      <c r="B130">
        <v>-0.74222952309565615</v>
      </c>
      <c r="E130">
        <f t="shared" si="38"/>
        <v>1.1800000000000008</v>
      </c>
      <c r="F130">
        <f t="shared" si="39"/>
        <v>0.48571125780230195</v>
      </c>
      <c r="G130" s="3">
        <f t="shared" si="40"/>
        <v>0.27448009026812165</v>
      </c>
      <c r="H130" s="3">
        <f t="shared" si="41"/>
        <v>212199.39559746708</v>
      </c>
      <c r="I130" s="3">
        <f t="shared" si="42"/>
        <v>-0.21123116753418031</v>
      </c>
      <c r="J130" s="4">
        <f t="shared" si="43"/>
        <v>-4.7433792040642819</v>
      </c>
      <c r="K130">
        <f t="shared" si="44"/>
        <v>1.1850000000000007</v>
      </c>
      <c r="L130">
        <f t="shared" si="45"/>
        <v>-5.1351930990138754</v>
      </c>
      <c r="M130">
        <f t="shared" si="46"/>
        <v>0.22083139522319756</v>
      </c>
      <c r="N130" s="3">
        <f t="shared" si="47"/>
        <v>150987.74715173891</v>
      </c>
      <c r="O130" s="3">
        <f t="shared" si="48"/>
        <v>5.3560244942370732</v>
      </c>
      <c r="P130" s="4">
        <f t="shared" si="49"/>
        <v>851.17158124734181</v>
      </c>
      <c r="Q130">
        <f t="shared" si="50"/>
        <v>1.1900000000000008</v>
      </c>
      <c r="R130">
        <f t="shared" si="51"/>
        <v>17.556576674789781</v>
      </c>
      <c r="S130">
        <f t="shared" si="52"/>
        <v>0.16718270017827105</v>
      </c>
      <c r="T130" s="3">
        <f t="shared" si="53"/>
        <v>398101.11998846073</v>
      </c>
      <c r="U130" s="3">
        <f t="shared" si="54"/>
        <v>-17.389393974611512</v>
      </c>
      <c r="V130" s="4">
        <f t="shared" si="55"/>
        <v>-1888.5490093465971</v>
      </c>
      <c r="W130">
        <f t="shared" si="56"/>
        <v>0.47955647293064657</v>
      </c>
    </row>
    <row r="131" spans="1:23" x14ac:dyDescent="0.25">
      <c r="A131">
        <v>2.9</v>
      </c>
      <c r="B131">
        <v>-0.71859633974211734</v>
      </c>
      <c r="E131">
        <f t="shared" si="38"/>
        <v>1.1900000000000008</v>
      </c>
      <c r="F131">
        <f t="shared" si="39"/>
        <v>0.47955647293064657</v>
      </c>
      <c r="G131" s="3">
        <f t="shared" si="40"/>
        <v>0.16718270017827105</v>
      </c>
      <c r="H131" s="3">
        <f t="shared" si="41"/>
        <v>212132.36999021473</v>
      </c>
      <c r="I131" s="3">
        <f t="shared" si="42"/>
        <v>-0.31237377275237554</v>
      </c>
      <c r="J131" s="4">
        <f t="shared" si="43"/>
        <v>-8.5329635178307122</v>
      </c>
      <c r="K131">
        <f t="shared" si="44"/>
        <v>1.1950000000000007</v>
      </c>
      <c r="L131">
        <f t="shared" si="45"/>
        <v>-9.7173349308770618</v>
      </c>
      <c r="M131">
        <f t="shared" si="46"/>
        <v>0.11353400513334697</v>
      </c>
      <c r="N131" s="3">
        <f t="shared" si="47"/>
        <v>43462.129776522772</v>
      </c>
      <c r="O131" s="3">
        <f t="shared" si="48"/>
        <v>9.8308689360104093</v>
      </c>
      <c r="P131" s="4">
        <f t="shared" si="49"/>
        <v>7353.1232168173119</v>
      </c>
      <c r="Q131">
        <f t="shared" si="50"/>
        <v>1.2000000000000008</v>
      </c>
      <c r="R131">
        <f t="shared" si="51"/>
        <v>147.6273504444552</v>
      </c>
      <c r="S131">
        <f t="shared" si="52"/>
        <v>5.9885310088420324E-2</v>
      </c>
      <c r="T131" s="3">
        <f t="shared" si="53"/>
        <v>1814571.8463401173</v>
      </c>
      <c r="U131" s="3">
        <f t="shared" si="54"/>
        <v>-147.56746513436678</v>
      </c>
      <c r="V131" s="4">
        <f t="shared" si="55"/>
        <v>-10242.518237387956</v>
      </c>
      <c r="W131">
        <f t="shared" si="56"/>
        <v>0.46619156928529842</v>
      </c>
    </row>
    <row r="132" spans="1:23" x14ac:dyDescent="0.25">
      <c r="A132">
        <v>2.9249999999999998</v>
      </c>
      <c r="B132">
        <v>-0.62945272660805507</v>
      </c>
      <c r="E132">
        <f t="shared" si="38"/>
        <v>1.2000000000000008</v>
      </c>
      <c r="F132">
        <f t="shared" si="39"/>
        <v>0.46619156928529842</v>
      </c>
      <c r="G132" s="3">
        <f t="shared" si="40"/>
        <v>5.9885310088420324E-2</v>
      </c>
      <c r="H132" s="3">
        <f t="shared" si="41"/>
        <v>211986.8261895169</v>
      </c>
      <c r="I132" s="3">
        <f t="shared" si="42"/>
        <v>-0.40630625919687813</v>
      </c>
      <c r="J132" s="4">
        <f t="shared" si="43"/>
        <v>-12.66678458481414</v>
      </c>
      <c r="K132">
        <f t="shared" si="44"/>
        <v>1.2050000000000007</v>
      </c>
      <c r="L132">
        <f t="shared" si="45"/>
        <v>-14.797283855415749</v>
      </c>
      <c r="M132">
        <f t="shared" si="46"/>
        <v>5.3601614517896521E-3</v>
      </c>
      <c r="N132" s="3">
        <f t="shared" si="47"/>
        <v>-119588.18875719687</v>
      </c>
      <c r="O132" s="3">
        <f t="shared" si="48"/>
        <v>14.802644016867539</v>
      </c>
      <c r="P132" s="4">
        <f t="shared" si="49"/>
        <v>-4937.5970270610351</v>
      </c>
      <c r="Q132">
        <f t="shared" si="50"/>
        <v>1.2100000000000009</v>
      </c>
      <c r="R132">
        <f t="shared" si="51"/>
        <v>-98.159081126087258</v>
      </c>
      <c r="S132">
        <f t="shared" si="52"/>
        <v>-4.9164987184843439E-2</v>
      </c>
      <c r="T132" s="3">
        <f t="shared" si="53"/>
        <v>-2795238.6333648977</v>
      </c>
      <c r="U132" s="3">
        <f t="shared" si="54"/>
        <v>98.10991613890242</v>
      </c>
      <c r="V132" s="4">
        <f t="shared" si="55"/>
        <v>-3604.5035297171644</v>
      </c>
      <c r="W132">
        <f t="shared" si="56"/>
        <v>0.44503405440831206</v>
      </c>
    </row>
    <row r="133" spans="1:23" x14ac:dyDescent="0.25">
      <c r="A133">
        <v>2.95</v>
      </c>
      <c r="B133">
        <v>-0.48343561278934399</v>
      </c>
      <c r="E133">
        <f t="shared" si="38"/>
        <v>1.2100000000000009</v>
      </c>
      <c r="F133">
        <f t="shared" si="39"/>
        <v>0.44503405440831206</v>
      </c>
      <c r="G133" s="3">
        <f t="shared" si="40"/>
        <v>-4.9164987184843439E-2</v>
      </c>
      <c r="H133" s="3">
        <f t="shared" si="41"/>
        <v>211756.4208525065</v>
      </c>
      <c r="I133" s="3">
        <f t="shared" si="42"/>
        <v>-0.49419904159315553</v>
      </c>
      <c r="J133" s="4">
        <f t="shared" si="43"/>
        <v>-17.010271638344662</v>
      </c>
      <c r="K133">
        <f t="shared" si="44"/>
        <v>1.2150000000000007</v>
      </c>
      <c r="L133">
        <f t="shared" si="45"/>
        <v>-20.222445986180468</v>
      </c>
      <c r="M133">
        <f t="shared" si="46"/>
        <v>-0.10369013582147411</v>
      </c>
      <c r="N133" s="3">
        <f t="shared" si="47"/>
        <v>-293718.76106380508</v>
      </c>
      <c r="O133" s="3">
        <f t="shared" si="48"/>
        <v>20.118755850358994</v>
      </c>
      <c r="P133" s="4">
        <f t="shared" si="49"/>
        <v>-3185.4073760260085</v>
      </c>
      <c r="Q133">
        <f t="shared" si="50"/>
        <v>1.2200000000000009</v>
      </c>
      <c r="R133">
        <f t="shared" si="51"/>
        <v>-63.093010749728414</v>
      </c>
      <c r="S133">
        <f t="shared" si="52"/>
        <v>-0.1582152844581072</v>
      </c>
      <c r="T133" s="3">
        <f t="shared" si="53"/>
        <v>-1669728.509242862</v>
      </c>
      <c r="U133" s="3">
        <f t="shared" si="54"/>
        <v>62.934795465270305</v>
      </c>
      <c r="V133" s="4">
        <f t="shared" si="55"/>
        <v>-3100.1689606263371</v>
      </c>
      <c r="W133">
        <f t="shared" si="56"/>
        <v>0.41572864196483095</v>
      </c>
    </row>
    <row r="134" spans="1:23" x14ac:dyDescent="0.25">
      <c r="A134">
        <v>2.9750000000000001</v>
      </c>
      <c r="B134">
        <v>-0.2943156180259302</v>
      </c>
      <c r="E134">
        <f t="shared" si="38"/>
        <v>1.2200000000000009</v>
      </c>
      <c r="F134">
        <f t="shared" si="39"/>
        <v>0.41572864196483095</v>
      </c>
      <c r="G134" s="3">
        <f t="shared" si="40"/>
        <v>-0.1582152844581072</v>
      </c>
      <c r="H134" s="3">
        <f t="shared" si="41"/>
        <v>211437.284910997</v>
      </c>
      <c r="I134" s="3">
        <f t="shared" si="42"/>
        <v>-0.57394392642293812</v>
      </c>
      <c r="J134" s="4">
        <f t="shared" si="43"/>
        <v>-21.32149298813448</v>
      </c>
      <c r="K134">
        <f t="shared" si="44"/>
        <v>1.2250000000000008</v>
      </c>
      <c r="L134">
        <f t="shared" si="45"/>
        <v>-25.703100268499924</v>
      </c>
      <c r="M134">
        <f t="shared" si="46"/>
        <v>-0.21274043309473734</v>
      </c>
      <c r="N134" s="3">
        <f t="shared" si="47"/>
        <v>-469630.45619694702</v>
      </c>
      <c r="O134" s="3">
        <f t="shared" si="48"/>
        <v>25.490359835405187</v>
      </c>
      <c r="P134" s="4">
        <f t="shared" si="49"/>
        <v>-2841.2057448193527</v>
      </c>
      <c r="Q134">
        <f t="shared" si="50"/>
        <v>1.2300000000000009</v>
      </c>
      <c r="R134">
        <f t="shared" si="51"/>
        <v>-56.19517132454088</v>
      </c>
      <c r="S134">
        <f t="shared" si="52"/>
        <v>-0.26309440674231466</v>
      </c>
      <c r="T134" s="3">
        <f t="shared" si="53"/>
        <v>-1448329.6463451583</v>
      </c>
      <c r="U134" s="3">
        <f t="shared" si="54"/>
        <v>55.932076917798568</v>
      </c>
      <c r="V134" s="4">
        <f t="shared" si="55"/>
        <v>-2994.4632490427084</v>
      </c>
      <c r="W134">
        <f t="shared" si="56"/>
        <v>0.37833606008607135</v>
      </c>
    </row>
    <row r="135" spans="1:23" x14ac:dyDescent="0.25">
      <c r="A135">
        <v>3</v>
      </c>
      <c r="B135">
        <v>-7.9696859827084521E-2</v>
      </c>
      <c r="E135">
        <f t="shared" si="38"/>
        <v>1.2300000000000009</v>
      </c>
      <c r="F135">
        <f t="shared" si="39"/>
        <v>0.37833606008607135</v>
      </c>
      <c r="G135" s="3">
        <f t="shared" si="40"/>
        <v>-0.26309440674231466</v>
      </c>
      <c r="H135" s="3">
        <f t="shared" si="41"/>
        <v>211030.07969433733</v>
      </c>
      <c r="I135" s="3">
        <f t="shared" si="42"/>
        <v>-0.641430466828386</v>
      </c>
      <c r="J135" s="4">
        <f t="shared" si="43"/>
        <v>-25.239166117024794</v>
      </c>
      <c r="K135">
        <f t="shared" si="44"/>
        <v>1.2350000000000008</v>
      </c>
      <c r="L135">
        <f t="shared" si="45"/>
        <v>-30.792034094439568</v>
      </c>
      <c r="M135">
        <f t="shared" si="46"/>
        <v>-0.31344838038988976</v>
      </c>
      <c r="N135" s="3">
        <f t="shared" si="47"/>
        <v>-632969.16169226449</v>
      </c>
      <c r="O135" s="3">
        <f t="shared" si="48"/>
        <v>30.478585714049679</v>
      </c>
      <c r="P135" s="4">
        <f t="shared" si="49"/>
        <v>-2756.161443307371</v>
      </c>
      <c r="Q135">
        <f t="shared" si="50"/>
        <v>1.2400000000000009</v>
      </c>
      <c r="R135">
        <f t="shared" si="51"/>
        <v>-54.492501144891101</v>
      </c>
      <c r="S135">
        <f t="shared" si="52"/>
        <v>-0.36380235403746713</v>
      </c>
      <c r="T135" s="3">
        <f t="shared" si="53"/>
        <v>-1393679.3104315994</v>
      </c>
      <c r="U135" s="3">
        <f t="shared" si="54"/>
        <v>54.128698790853633</v>
      </c>
      <c r="V135" s="4">
        <f t="shared" si="55"/>
        <v>-2962.6033962739366</v>
      </c>
      <c r="W135">
        <f t="shared" si="56"/>
        <v>0.33357479009836832</v>
      </c>
    </row>
    <row r="136" spans="1:23" x14ac:dyDescent="0.25">
      <c r="A136">
        <v>3.0249999999999999</v>
      </c>
      <c r="B136">
        <v>0.140623227358635</v>
      </c>
      <c r="E136">
        <f t="shared" si="38"/>
        <v>1.2400000000000009</v>
      </c>
      <c r="F136">
        <f t="shared" si="39"/>
        <v>0.33357479009836832</v>
      </c>
      <c r="G136" s="3">
        <f t="shared" si="40"/>
        <v>-0.36380235403746713</v>
      </c>
      <c r="H136" s="3">
        <f t="shared" si="41"/>
        <v>210542.62946417124</v>
      </c>
      <c r="I136" s="3">
        <f t="shared" si="42"/>
        <v>-0.6973771441358354</v>
      </c>
      <c r="J136" s="4">
        <f t="shared" si="43"/>
        <v>-28.678505168868956</v>
      </c>
      <c r="K136">
        <f t="shared" si="44"/>
        <v>1.2450000000000008</v>
      </c>
      <c r="L136">
        <f t="shared" si="45"/>
        <v>-35.371164145143503</v>
      </c>
      <c r="M136">
        <f t="shared" si="46"/>
        <v>-0.41415632768504224</v>
      </c>
      <c r="N136" s="3">
        <f t="shared" si="47"/>
        <v>-779944.77590917447</v>
      </c>
      <c r="O136" s="3">
        <f t="shared" si="48"/>
        <v>34.957007817458461</v>
      </c>
      <c r="P136" s="4">
        <f t="shared" si="49"/>
        <v>-2747.4671753243747</v>
      </c>
      <c r="Q136">
        <f t="shared" si="50"/>
        <v>1.2500000000000009</v>
      </c>
      <c r="R136">
        <f t="shared" si="51"/>
        <v>-54.328983664700438</v>
      </c>
      <c r="S136">
        <f t="shared" si="52"/>
        <v>-0.464510301332618</v>
      </c>
      <c r="T136" s="3">
        <f t="shared" si="53"/>
        <v>-1388430.9156884693</v>
      </c>
      <c r="U136" s="3">
        <f t="shared" si="54"/>
        <v>53.864473363367821</v>
      </c>
      <c r="V136" s="4">
        <f t="shared" si="55"/>
        <v>-2952.0542906922519</v>
      </c>
      <c r="W136">
        <f t="shared" si="56"/>
        <v>0.28224205546346542</v>
      </c>
    </row>
    <row r="137" spans="1:23" x14ac:dyDescent="0.25">
      <c r="A137">
        <v>3.05</v>
      </c>
      <c r="B137">
        <v>0.34648109939449023</v>
      </c>
      <c r="E137">
        <f t="shared" si="38"/>
        <v>1.2500000000000009</v>
      </c>
      <c r="F137">
        <f t="shared" si="39"/>
        <v>0.28224205546346542</v>
      </c>
      <c r="G137" s="3">
        <f t="shared" si="40"/>
        <v>-0.464510301332618</v>
      </c>
      <c r="H137" s="3">
        <f t="shared" si="41"/>
        <v>209983.61598399715</v>
      </c>
      <c r="I137" s="3">
        <f t="shared" si="42"/>
        <v>-0.74675235679608343</v>
      </c>
      <c r="J137" s="4">
        <f t="shared" si="43"/>
        <v>-31.862106233235238</v>
      </c>
      <c r="K137">
        <f t="shared" si="44"/>
        <v>1.2550000000000008</v>
      </c>
      <c r="L137">
        <f t="shared" si="45"/>
        <v>-39.704701267246783</v>
      </c>
      <c r="M137">
        <f t="shared" si="46"/>
        <v>-0.5060543484451826</v>
      </c>
      <c r="N137" s="3">
        <f t="shared" si="47"/>
        <v>-919037.6326746199</v>
      </c>
      <c r="O137" s="3">
        <f t="shared" si="48"/>
        <v>39.1986469188016</v>
      </c>
      <c r="P137" s="4">
        <f t="shared" si="49"/>
        <v>-2768.6515918587297</v>
      </c>
      <c r="Q137">
        <f t="shared" si="50"/>
        <v>1.2600000000000009</v>
      </c>
      <c r="R137">
        <f t="shared" si="51"/>
        <v>-54.772168719378776</v>
      </c>
      <c r="S137">
        <f t="shared" si="52"/>
        <v>-0.54759839555774914</v>
      </c>
      <c r="T137" s="3">
        <f t="shared" si="53"/>
        <v>-1402655.7564118921</v>
      </c>
      <c r="U137" s="3">
        <f t="shared" si="54"/>
        <v>54.224570323821027</v>
      </c>
      <c r="V137" s="4">
        <f t="shared" si="55"/>
        <v>-2951.4679336413224</v>
      </c>
      <c r="W137">
        <f t="shared" si="56"/>
        <v>0.22485218542584257</v>
      </c>
    </row>
    <row r="138" spans="1:23" x14ac:dyDescent="0.25">
      <c r="A138">
        <v>3.0750000000000002</v>
      </c>
      <c r="B138">
        <v>0.51919259677842244</v>
      </c>
      <c r="E138">
        <f t="shared" si="38"/>
        <v>1.2600000000000009</v>
      </c>
      <c r="F138">
        <f t="shared" si="39"/>
        <v>0.22485218542584257</v>
      </c>
      <c r="G138" s="3">
        <f t="shared" si="40"/>
        <v>-0.54759839555774914</v>
      </c>
      <c r="H138" s="3">
        <f t="shared" si="41"/>
        <v>209358.64029928742</v>
      </c>
      <c r="I138" s="3">
        <f t="shared" si="42"/>
        <v>-0.77245058098359176</v>
      </c>
      <c r="J138" s="4">
        <f t="shared" si="43"/>
        <v>-33.620963540447548</v>
      </c>
      <c r="K138">
        <f t="shared" si="44"/>
        <v>1.2650000000000008</v>
      </c>
      <c r="L138">
        <f t="shared" si="45"/>
        <v>-42.305666693240326</v>
      </c>
      <c r="M138">
        <f t="shared" si="46"/>
        <v>-0.58914244267031379</v>
      </c>
      <c r="N138" s="3">
        <f t="shared" si="47"/>
        <v>-1002520.4092739832</v>
      </c>
      <c r="O138" s="3">
        <f t="shared" si="48"/>
        <v>41.716524250570011</v>
      </c>
      <c r="P138" s="4">
        <f t="shared" si="49"/>
        <v>-2786.531396235865</v>
      </c>
      <c r="Q138">
        <f t="shared" si="50"/>
        <v>1.2700000000000009</v>
      </c>
      <c r="R138">
        <f t="shared" si="51"/>
        <v>-55.169566103886986</v>
      </c>
      <c r="S138">
        <f t="shared" si="52"/>
        <v>-0.63068648978288033</v>
      </c>
      <c r="T138" s="3">
        <f t="shared" si="53"/>
        <v>-1415410.9575154968</v>
      </c>
      <c r="U138" s="3">
        <f t="shared" si="54"/>
        <v>54.538879614104104</v>
      </c>
      <c r="V138" s="4">
        <f t="shared" si="55"/>
        <v>-2950.3378655119336</v>
      </c>
      <c r="W138">
        <f t="shared" si="56"/>
        <v>0.16383848575765642</v>
      </c>
    </row>
    <row r="139" spans="1:23" x14ac:dyDescent="0.25">
      <c r="A139">
        <v>3.1</v>
      </c>
      <c r="B139">
        <v>0.64324780105562407</v>
      </c>
      <c r="E139">
        <f t="shared" si="38"/>
        <v>1.2700000000000009</v>
      </c>
      <c r="F139">
        <f t="shared" si="39"/>
        <v>0.16383848575765642</v>
      </c>
      <c r="G139" s="3">
        <f t="shared" si="40"/>
        <v>-0.63068648978288033</v>
      </c>
      <c r="H139" s="3">
        <f t="shared" si="41"/>
        <v>208694.20110990087</v>
      </c>
      <c r="I139" s="3">
        <f t="shared" si="42"/>
        <v>-0.7945249755405368</v>
      </c>
      <c r="J139" s="4">
        <f t="shared" si="43"/>
        <v>-35.184058754529616</v>
      </c>
      <c r="K139">
        <f t="shared" si="44"/>
        <v>1.2750000000000008</v>
      </c>
      <c r="L139">
        <f t="shared" si="45"/>
        <v>-44.695836426267633</v>
      </c>
      <c r="M139">
        <f t="shared" si="46"/>
        <v>-0.67223053689544265</v>
      </c>
      <c r="N139" s="3">
        <f t="shared" si="47"/>
        <v>-1079237.3097997396</v>
      </c>
      <c r="O139" s="3">
        <f t="shared" si="48"/>
        <v>44.023605889372192</v>
      </c>
      <c r="P139" s="4">
        <f t="shared" si="49"/>
        <v>-2806.1213992357962</v>
      </c>
      <c r="Q139">
        <f t="shared" si="50"/>
        <v>1.2800000000000009</v>
      </c>
      <c r="R139">
        <f t="shared" si="51"/>
        <v>-55.606748911412971</v>
      </c>
      <c r="S139">
        <f t="shared" si="52"/>
        <v>-0.70116232221651742</v>
      </c>
      <c r="T139" s="3">
        <f t="shared" si="53"/>
        <v>-1429443.145059794</v>
      </c>
      <c r="U139" s="3">
        <f t="shared" si="54"/>
        <v>54.905586589196453</v>
      </c>
      <c r="V139" s="4">
        <f t="shared" si="55"/>
        <v>-2950.8892195925118</v>
      </c>
      <c r="W139">
        <f t="shared" si="56"/>
        <v>9.9548247050443239E-2</v>
      </c>
    </row>
    <row r="140" spans="1:23" x14ac:dyDescent="0.25">
      <c r="A140">
        <v>3.125</v>
      </c>
      <c r="B140">
        <v>0.70770160638349178</v>
      </c>
      <c r="E140">
        <f t="shared" si="38"/>
        <v>1.2800000000000009</v>
      </c>
      <c r="F140">
        <f t="shared" si="39"/>
        <v>9.9548247050443239E-2</v>
      </c>
      <c r="G140" s="3">
        <f t="shared" si="40"/>
        <v>-0.70116232221651742</v>
      </c>
      <c r="H140" s="3">
        <f t="shared" si="41"/>
        <v>207994.08041037933</v>
      </c>
      <c r="I140" s="3">
        <f t="shared" si="42"/>
        <v>-0.80071056926696071</v>
      </c>
      <c r="J140" s="4">
        <f t="shared" si="43"/>
        <v>-35.715551062371169</v>
      </c>
      <c r="K140">
        <f t="shared" si="44"/>
        <v>1.2850000000000008</v>
      </c>
      <c r="L140">
        <f t="shared" si="45"/>
        <v>-45.79493486809654</v>
      </c>
      <c r="M140">
        <f t="shared" si="46"/>
        <v>-0.73009410753759085</v>
      </c>
      <c r="N140" s="3">
        <f t="shared" si="47"/>
        <v>-1114514.8989452629</v>
      </c>
      <c r="O140" s="3">
        <f t="shared" si="48"/>
        <v>45.064840760558951</v>
      </c>
      <c r="P140" s="4">
        <f t="shared" si="49"/>
        <v>-2814.2707130151421</v>
      </c>
      <c r="Q140">
        <f t="shared" si="50"/>
        <v>1.2900000000000009</v>
      </c>
      <c r="R140">
        <f t="shared" si="51"/>
        <v>-55.828710502628688</v>
      </c>
      <c r="S140">
        <f t="shared" si="52"/>
        <v>-0.75902589285866562</v>
      </c>
      <c r="T140" s="3">
        <f t="shared" si="53"/>
        <v>-1436567.4112064778</v>
      </c>
      <c r="U140" s="3">
        <f t="shared" si="54"/>
        <v>55.069684609770022</v>
      </c>
      <c r="V140" s="4">
        <f t="shared" si="55"/>
        <v>-2949.4284303716827</v>
      </c>
      <c r="W140">
        <f t="shared" si="56"/>
        <v>3.3889991408142917E-2</v>
      </c>
    </row>
    <row r="141" spans="1:23" x14ac:dyDescent="0.25">
      <c r="A141">
        <v>3.15</v>
      </c>
      <c r="B141">
        <v>0.70713555682591223</v>
      </c>
      <c r="E141">
        <f t="shared" si="38"/>
        <v>1.2900000000000009</v>
      </c>
      <c r="F141">
        <f t="shared" si="39"/>
        <v>3.3889991408142917E-2</v>
      </c>
      <c r="G141" s="3">
        <f t="shared" si="40"/>
        <v>-0.75902589285866562</v>
      </c>
      <c r="H141" s="3">
        <f t="shared" si="41"/>
        <v>207279.06200643469</v>
      </c>
      <c r="I141" s="3">
        <f t="shared" si="42"/>
        <v>-0.79291588426680848</v>
      </c>
      <c r="J141" s="4">
        <f t="shared" si="43"/>
        <v>-35.316709325186345</v>
      </c>
      <c r="K141">
        <f t="shared" si="44"/>
        <v>1.2950000000000008</v>
      </c>
      <c r="L141">
        <f t="shared" si="45"/>
        <v>-45.701248584708203</v>
      </c>
      <c r="M141">
        <f t="shared" si="46"/>
        <v>-0.78795767817973905</v>
      </c>
      <c r="N141" s="3">
        <f t="shared" si="47"/>
        <v>-1111507.8650999186</v>
      </c>
      <c r="O141" s="3">
        <f t="shared" si="48"/>
        <v>44.913290906528466</v>
      </c>
      <c r="P141" s="4">
        <f t="shared" si="49"/>
        <v>-2807.6616207114839</v>
      </c>
      <c r="Q141">
        <f t="shared" si="50"/>
        <v>1.3000000000000009</v>
      </c>
      <c r="R141">
        <f t="shared" si="51"/>
        <v>-55.76617532956967</v>
      </c>
      <c r="S141">
        <f t="shared" si="52"/>
        <v>-0.81688946350081104</v>
      </c>
      <c r="T141" s="3">
        <f t="shared" si="53"/>
        <v>-1434560.2296307771</v>
      </c>
      <c r="U141" s="3">
        <f t="shared" si="54"/>
        <v>54.949285866068855</v>
      </c>
      <c r="V141" s="4">
        <f t="shared" si="55"/>
        <v>-2943.8744256269897</v>
      </c>
      <c r="W141">
        <f t="shared" si="56"/>
        <v>-3.1585724427533934E-2</v>
      </c>
    </row>
    <row r="142" spans="1:23" x14ac:dyDescent="0.25">
      <c r="A142">
        <v>3.1749999999999998</v>
      </c>
      <c r="B142">
        <v>0.64210681263753211</v>
      </c>
      <c r="E142">
        <f t="shared" si="38"/>
        <v>1.3000000000000009</v>
      </c>
      <c r="F142">
        <f t="shared" si="39"/>
        <v>-3.1585724427533934E-2</v>
      </c>
      <c r="G142" s="3">
        <f t="shared" si="40"/>
        <v>-0.81688946350081104</v>
      </c>
      <c r="H142" s="3">
        <f t="shared" si="41"/>
        <v>206566.03146098414</v>
      </c>
      <c r="I142" s="3">
        <f t="shared" si="42"/>
        <v>-0.78530373907327711</v>
      </c>
      <c r="J142" s="4">
        <f t="shared" si="43"/>
        <v>-34.92951701293925</v>
      </c>
      <c r="K142">
        <f t="shared" si="44"/>
        <v>1.3050000000000008</v>
      </c>
      <c r="L142">
        <f t="shared" si="45"/>
        <v>-45.61460542631329</v>
      </c>
      <c r="M142">
        <f t="shared" si="46"/>
        <v>-0.83059110636956757</v>
      </c>
      <c r="N142" s="3">
        <f t="shared" si="47"/>
        <v>-1108726.8933254157</v>
      </c>
      <c r="O142" s="3">
        <f t="shared" si="48"/>
        <v>44.784014319943722</v>
      </c>
      <c r="P142" s="4">
        <f t="shared" si="49"/>
        <v>-2802.5601123783622</v>
      </c>
      <c r="Q142">
        <f t="shared" si="50"/>
        <v>1.3100000000000009</v>
      </c>
      <c r="R142">
        <f t="shared" si="51"/>
        <v>-55.733492801865388</v>
      </c>
      <c r="S142">
        <f t="shared" si="52"/>
        <v>-0.84429274923832465</v>
      </c>
      <c r="T142" s="3">
        <f t="shared" si="53"/>
        <v>-1433511.2236994521</v>
      </c>
      <c r="U142" s="3">
        <f t="shared" si="54"/>
        <v>54.889200052627061</v>
      </c>
      <c r="V142" s="4">
        <f t="shared" si="55"/>
        <v>-2941.1978723824941</v>
      </c>
      <c r="W142">
        <f t="shared" si="56"/>
        <v>-9.6746014740293679E-2</v>
      </c>
    </row>
    <row r="143" spans="1:23" x14ac:dyDescent="0.25">
      <c r="A143">
        <v>3.2</v>
      </c>
      <c r="B143">
        <v>0.51904774184627134</v>
      </c>
      <c r="E143">
        <f t="shared" si="38"/>
        <v>1.3100000000000009</v>
      </c>
      <c r="F143">
        <f t="shared" si="39"/>
        <v>-9.6746014740293679E-2</v>
      </c>
      <c r="G143" s="3">
        <f t="shared" si="40"/>
        <v>-0.84429274923832465</v>
      </c>
      <c r="H143" s="3">
        <f t="shared" si="41"/>
        <v>205856.43589947821</v>
      </c>
      <c r="I143" s="3">
        <f t="shared" si="42"/>
        <v>-0.747546734498031</v>
      </c>
      <c r="J143" s="4">
        <f t="shared" si="43"/>
        <v>-32.552778433849738</v>
      </c>
      <c r="K143">
        <f t="shared" si="44"/>
        <v>1.3150000000000008</v>
      </c>
      <c r="L143">
        <f t="shared" si="45"/>
        <v>-42.903649655252721</v>
      </c>
      <c r="M143">
        <f t="shared" si="46"/>
        <v>-0.85799439210708106</v>
      </c>
      <c r="N143" s="3">
        <f t="shared" si="47"/>
        <v>-1021713.7739873326</v>
      </c>
      <c r="O143" s="3">
        <f t="shared" si="48"/>
        <v>42.04565526314564</v>
      </c>
      <c r="P143" s="4">
        <f t="shared" si="49"/>
        <v>-2766.6067232835017</v>
      </c>
      <c r="Q143">
        <f t="shared" si="50"/>
        <v>1.320000000000001</v>
      </c>
      <c r="R143">
        <f t="shared" si="51"/>
        <v>-55.103352696071831</v>
      </c>
      <c r="S143">
        <f t="shared" si="52"/>
        <v>-0.87169603497583814</v>
      </c>
      <c r="T143" s="3">
        <f t="shared" si="53"/>
        <v>-1413285.7162196024</v>
      </c>
      <c r="U143" s="3">
        <f t="shared" si="54"/>
        <v>54.23165666109599</v>
      </c>
      <c r="V143" s="4">
        <f t="shared" si="55"/>
        <v>-2929.842846970043</v>
      </c>
      <c r="W143">
        <f t="shared" si="56"/>
        <v>-0.15817343480238352</v>
      </c>
    </row>
    <row r="144" spans="1:23" x14ac:dyDescent="0.25">
      <c r="A144">
        <v>3.2250000000000001</v>
      </c>
      <c r="B144">
        <v>0.34963015917807744</v>
      </c>
      <c r="E144">
        <f t="shared" si="38"/>
        <v>1.320000000000001</v>
      </c>
      <c r="F144">
        <f t="shared" si="39"/>
        <v>-0.15817343480238352</v>
      </c>
      <c r="G144" s="3">
        <f t="shared" si="40"/>
        <v>-0.87169603497583814</v>
      </c>
      <c r="H144" s="3">
        <f t="shared" si="41"/>
        <v>205187.49129500205</v>
      </c>
      <c r="I144" s="3">
        <f t="shared" si="42"/>
        <v>-0.71352260017345459</v>
      </c>
      <c r="J144" s="4">
        <f t="shared" si="43"/>
        <v>-30.454796873264772</v>
      </c>
      <c r="K144">
        <f t="shared" si="44"/>
        <v>1.3250000000000008</v>
      </c>
      <c r="L144">
        <f t="shared" si="45"/>
        <v>-40.510779291878237</v>
      </c>
      <c r="M144">
        <f t="shared" si="46"/>
        <v>-0.88539767784459178</v>
      </c>
      <c r="N144" s="3">
        <f t="shared" si="47"/>
        <v>-944910.19175573811</v>
      </c>
      <c r="O144" s="3">
        <f t="shared" si="48"/>
        <v>39.625381614033643</v>
      </c>
      <c r="P144" s="4">
        <f t="shared" si="49"/>
        <v>-2736.9359985667584</v>
      </c>
      <c r="Q144">
        <f t="shared" si="50"/>
        <v>1.330000000000001</v>
      </c>
      <c r="R144">
        <f t="shared" si="51"/>
        <v>-54.592345437404909</v>
      </c>
      <c r="S144">
        <f t="shared" si="52"/>
        <v>-0.88267242989572758</v>
      </c>
      <c r="T144" s="3">
        <f t="shared" si="53"/>
        <v>-1396883.9969235267</v>
      </c>
      <c r="U144" s="3">
        <f t="shared" si="54"/>
        <v>53.709673007509181</v>
      </c>
      <c r="V144" s="4">
        <f t="shared" si="55"/>
        <v>-2921.5505767041127</v>
      </c>
      <c r="W144">
        <f t="shared" si="56"/>
        <v>-0.21630520149328164</v>
      </c>
    </row>
    <row r="145" spans="1:23" x14ac:dyDescent="0.25">
      <c r="A145">
        <v>3.25</v>
      </c>
      <c r="B145">
        <v>0.14965700417406474</v>
      </c>
      <c r="E145">
        <f t="shared" si="38"/>
        <v>1.330000000000001</v>
      </c>
      <c r="F145">
        <f t="shared" si="39"/>
        <v>-0.21630520149328164</v>
      </c>
      <c r="G145" s="3">
        <f t="shared" si="40"/>
        <v>-0.88267242989572758</v>
      </c>
      <c r="H145" s="3">
        <f t="shared" si="41"/>
        <v>204554.43635573817</v>
      </c>
      <c r="I145" s="3">
        <f t="shared" si="42"/>
        <v>-0.666367228402446</v>
      </c>
      <c r="J145" s="4">
        <f t="shared" si="43"/>
        <v>-27.571254778925862</v>
      </c>
      <c r="K145">
        <f t="shared" si="44"/>
        <v>1.3350000000000009</v>
      </c>
      <c r="L145">
        <f t="shared" si="45"/>
        <v>-37.023930331359331</v>
      </c>
      <c r="M145">
        <f t="shared" si="46"/>
        <v>-0.8799471819468635</v>
      </c>
      <c r="N145" s="3">
        <f t="shared" si="47"/>
        <v>-832993.35122506181</v>
      </c>
      <c r="O145" s="3">
        <f t="shared" si="48"/>
        <v>36.14398314941247</v>
      </c>
      <c r="P145" s="4">
        <f t="shared" si="49"/>
        <v>-2704.6275665546395</v>
      </c>
      <c r="Q145">
        <f t="shared" si="50"/>
        <v>1.340000000000001</v>
      </c>
      <c r="R145">
        <f t="shared" si="51"/>
        <v>-54.033143984796816</v>
      </c>
      <c r="S145">
        <f t="shared" si="52"/>
        <v>-0.8772219339979993</v>
      </c>
      <c r="T145" s="3">
        <f t="shared" si="53"/>
        <v>-1378935.3961941311</v>
      </c>
      <c r="U145" s="3">
        <f t="shared" si="54"/>
        <v>53.155922050798814</v>
      </c>
      <c r="V145" s="4">
        <f t="shared" si="55"/>
        <v>-2913.926228677155</v>
      </c>
      <c r="W145">
        <f t="shared" si="56"/>
        <v>-0.26958564389446715</v>
      </c>
    </row>
    <row r="146" spans="1:23" x14ac:dyDescent="0.25">
      <c r="A146">
        <v>3.2749999999999999</v>
      </c>
      <c r="B146">
        <v>-6.2413177462278063E-2</v>
      </c>
      <c r="E146">
        <f t="shared" si="38"/>
        <v>1.340000000000001</v>
      </c>
      <c r="F146">
        <f t="shared" si="39"/>
        <v>-0.26958564389446715</v>
      </c>
      <c r="G146" s="3">
        <f t="shared" si="40"/>
        <v>-0.8772219339979993</v>
      </c>
      <c r="H146" s="3">
        <f t="shared" si="41"/>
        <v>203974.21233798924</v>
      </c>
      <c r="I146" s="3">
        <f t="shared" si="42"/>
        <v>-0.60763629010353215</v>
      </c>
      <c r="J146" s="4">
        <f t="shared" si="43"/>
        <v>-24.076052354305919</v>
      </c>
      <c r="K146">
        <f t="shared" si="44"/>
        <v>1.3450000000000009</v>
      </c>
      <c r="L146">
        <f t="shared" si="45"/>
        <v>-32.651876060435946</v>
      </c>
      <c r="M146">
        <f t="shared" si="46"/>
        <v>-0.87449668604913522</v>
      </c>
      <c r="N146" s="3">
        <f t="shared" si="47"/>
        <v>-692664.21561559243</v>
      </c>
      <c r="O146" s="3">
        <f t="shared" si="48"/>
        <v>31.777379374386811</v>
      </c>
      <c r="P146" s="4">
        <f t="shared" si="49"/>
        <v>-2681.3243677960627</v>
      </c>
      <c r="Q146">
        <f t="shared" si="50"/>
        <v>1.350000000000001</v>
      </c>
      <c r="R146">
        <f t="shared" si="51"/>
        <v>-53.655312476272663</v>
      </c>
      <c r="S146">
        <f t="shared" si="52"/>
        <v>-0.87177143810026814</v>
      </c>
      <c r="T146" s="3">
        <f t="shared" si="53"/>
        <v>-1366808.1979226379</v>
      </c>
      <c r="U146" s="3">
        <f t="shared" si="54"/>
        <v>52.783541038172395</v>
      </c>
      <c r="V146" s="4">
        <f t="shared" si="55"/>
        <v>-2908.9428998311801</v>
      </c>
      <c r="W146">
        <f t="shared" si="56"/>
        <v>-0.31699532812213838</v>
      </c>
    </row>
    <row r="147" spans="1:23" x14ac:dyDescent="0.25">
      <c r="A147">
        <v>3.3</v>
      </c>
      <c r="B147">
        <v>-0.26717104103147588</v>
      </c>
      <c r="E147">
        <f t="shared" si="38"/>
        <v>1.350000000000001</v>
      </c>
      <c r="F147">
        <f t="shared" si="39"/>
        <v>-0.31699532812213838</v>
      </c>
      <c r="G147" s="3">
        <f t="shared" si="40"/>
        <v>-0.87177143810026814</v>
      </c>
      <c r="H147" s="3">
        <f t="shared" si="41"/>
        <v>203457.92087674991</v>
      </c>
      <c r="I147" s="3">
        <f t="shared" si="42"/>
        <v>-0.55477610997812976</v>
      </c>
      <c r="J147" s="4">
        <f t="shared" si="43"/>
        <v>-21.057025007038224</v>
      </c>
      <c r="K147">
        <f t="shared" si="44"/>
        <v>1.3550000000000009</v>
      </c>
      <c r="L147">
        <f t="shared" si="45"/>
        <v>-28.849264212658952</v>
      </c>
      <c r="M147">
        <f t="shared" si="46"/>
        <v>-0.85294762256347767</v>
      </c>
      <c r="N147" s="3">
        <f t="shared" si="47"/>
        <v>-570612.3835498913</v>
      </c>
      <c r="O147" s="3">
        <f t="shared" si="48"/>
        <v>27.996316590095475</v>
      </c>
      <c r="P147" s="4">
        <f t="shared" si="49"/>
        <v>-2691.5666588317449</v>
      </c>
      <c r="Q147">
        <f t="shared" si="50"/>
        <v>1.360000000000001</v>
      </c>
      <c r="R147">
        <f t="shared" si="51"/>
        <v>-53.937758254686656</v>
      </c>
      <c r="S147">
        <f t="shared" si="52"/>
        <v>-0.83412380702668643</v>
      </c>
      <c r="T147" s="3">
        <f t="shared" si="53"/>
        <v>-1375873.8154756899</v>
      </c>
      <c r="U147" s="3">
        <f t="shared" si="54"/>
        <v>53.103634447659971</v>
      </c>
      <c r="V147" s="4">
        <f t="shared" si="55"/>
        <v>-2916.1022715007839</v>
      </c>
      <c r="W147">
        <f t="shared" si="56"/>
        <v>-0.3591668936293364</v>
      </c>
    </row>
    <row r="148" spans="1:23" x14ac:dyDescent="0.25">
      <c r="A148">
        <v>3.3250000000000002</v>
      </c>
      <c r="B148">
        <v>-0.44603298888173504</v>
      </c>
      <c r="E148">
        <f t="shared" si="38"/>
        <v>1.360000000000001</v>
      </c>
      <c r="F148">
        <f t="shared" si="39"/>
        <v>-0.3591668936293364</v>
      </c>
      <c r="G148" s="3">
        <f t="shared" si="40"/>
        <v>-0.83412380702668643</v>
      </c>
      <c r="H148" s="3">
        <f t="shared" si="41"/>
        <v>202998.67252837654</v>
      </c>
      <c r="I148" s="3">
        <f t="shared" si="42"/>
        <v>-0.47495691339735002</v>
      </c>
      <c r="J148" s="4">
        <f t="shared" si="43"/>
        <v>-16.717953423973839</v>
      </c>
      <c r="K148">
        <f t="shared" si="44"/>
        <v>1.3650000000000009</v>
      </c>
      <c r="L148">
        <f t="shared" si="45"/>
        <v>-23.179173317353641</v>
      </c>
      <c r="M148">
        <f t="shared" si="46"/>
        <v>-0.81529999148989596</v>
      </c>
      <c r="N148" s="3">
        <f t="shared" si="47"/>
        <v>-388620.37136078655</v>
      </c>
      <c r="O148" s="3">
        <f t="shared" si="48"/>
        <v>22.363873325863743</v>
      </c>
      <c r="P148" s="4">
        <f t="shared" si="49"/>
        <v>-2821.5643636541995</v>
      </c>
      <c r="Q148">
        <f t="shared" si="50"/>
        <v>1.370000000000001</v>
      </c>
      <c r="R148">
        <f t="shared" si="51"/>
        <v>-56.623274632473588</v>
      </c>
      <c r="S148">
        <f t="shared" si="52"/>
        <v>-0.79647617595310471</v>
      </c>
      <c r="T148" s="3">
        <f t="shared" si="53"/>
        <v>-1462070.4106246154</v>
      </c>
      <c r="U148" s="3">
        <f t="shared" si="54"/>
        <v>55.826798456520486</v>
      </c>
      <c r="V148" s="4">
        <f t="shared" si="55"/>
        <v>-2957.9497009839379</v>
      </c>
      <c r="W148">
        <f t="shared" si="56"/>
        <v>-0.39379294290581396</v>
      </c>
    </row>
    <row r="149" spans="1:23" x14ac:dyDescent="0.25">
      <c r="A149">
        <v>3.35</v>
      </c>
      <c r="B149">
        <v>-0.58292683354160346</v>
      </c>
      <c r="E149">
        <f t="shared" si="38"/>
        <v>1.370000000000001</v>
      </c>
      <c r="F149">
        <f t="shared" si="39"/>
        <v>-0.39379294290581396</v>
      </c>
      <c r="G149" s="3">
        <f t="shared" si="40"/>
        <v>-0.79647617595310471</v>
      </c>
      <c r="H149" s="3">
        <f t="shared" si="41"/>
        <v>202621.59485175568</v>
      </c>
      <c r="I149" s="3">
        <f t="shared" si="42"/>
        <v>-0.40268323304729076</v>
      </c>
      <c r="J149" s="4">
        <f t="shared" si="43"/>
        <v>-13.075387828657282</v>
      </c>
      <c r="K149">
        <f t="shared" si="44"/>
        <v>1.3750000000000009</v>
      </c>
      <c r="L149">
        <f t="shared" si="45"/>
        <v>-18.372451207309592</v>
      </c>
      <c r="M149">
        <f t="shared" si="46"/>
        <v>-0.77765236041631169</v>
      </c>
      <c r="N149" s="3">
        <f t="shared" si="47"/>
        <v>-234339.77075082532</v>
      </c>
      <c r="O149" s="3">
        <f t="shared" si="48"/>
        <v>17.59479884689328</v>
      </c>
      <c r="P149" s="4">
        <f t="shared" si="49"/>
        <v>-3265.3177338424812</v>
      </c>
      <c r="Q149">
        <f t="shared" si="50"/>
        <v>1.380000000000001</v>
      </c>
      <c r="R149">
        <f t="shared" si="51"/>
        <v>-65.569393741468858</v>
      </c>
      <c r="S149">
        <f t="shared" si="52"/>
        <v>-0.74454560606426567</v>
      </c>
      <c r="T149" s="3">
        <f t="shared" si="53"/>
        <v>-1749212.5831209142</v>
      </c>
      <c r="U149" s="3">
        <f t="shared" si="54"/>
        <v>64.824848135404594</v>
      </c>
      <c r="V149" s="4">
        <f t="shared" si="55"/>
        <v>-3093.6035522198554</v>
      </c>
      <c r="W149">
        <f t="shared" si="56"/>
        <v>-0.42201051436645864</v>
      </c>
    </row>
    <row r="150" spans="1:23" x14ac:dyDescent="0.25">
      <c r="A150">
        <v>3.375</v>
      </c>
      <c r="B150">
        <v>-0.66573377144626278</v>
      </c>
      <c r="E150">
        <f t="shared" si="38"/>
        <v>1.380000000000001</v>
      </c>
      <c r="F150">
        <f t="shared" si="39"/>
        <v>-0.42201051436645864</v>
      </c>
      <c r="G150" s="3">
        <f t="shared" si="40"/>
        <v>-0.74454560606426567</v>
      </c>
      <c r="H150" s="3">
        <f t="shared" si="41"/>
        <v>202314.30549854928</v>
      </c>
      <c r="I150" s="3">
        <f t="shared" si="42"/>
        <v>-0.32253509169780703</v>
      </c>
      <c r="J150" s="4">
        <f t="shared" si="43"/>
        <v>-9.3871521033499903</v>
      </c>
      <c r="K150">
        <f t="shared" si="44"/>
        <v>1.3850000000000009</v>
      </c>
      <c r="L150">
        <f t="shared" si="45"/>
        <v>-13.423216177506204</v>
      </c>
      <c r="M150">
        <f t="shared" si="46"/>
        <v>-0.7114388517122211</v>
      </c>
      <c r="N150" s="3">
        <f t="shared" si="47"/>
        <v>-75484.955457388583</v>
      </c>
      <c r="O150" s="3">
        <f t="shared" si="48"/>
        <v>12.711777325793982</v>
      </c>
      <c r="P150" s="4">
        <f t="shared" si="49"/>
        <v>-6225.0665746809154</v>
      </c>
      <c r="Q150">
        <f t="shared" si="50"/>
        <v>1.390000000000001</v>
      </c>
      <c r="R150">
        <f t="shared" si="51"/>
        <v>-124.82947048695127</v>
      </c>
      <c r="S150">
        <f t="shared" si="52"/>
        <v>-0.67833209736017508</v>
      </c>
      <c r="T150" s="3">
        <f t="shared" si="53"/>
        <v>-3651273.9095664402</v>
      </c>
      <c r="U150" s="3">
        <f t="shared" si="54"/>
        <v>124.1511383895911</v>
      </c>
      <c r="V150" s="4">
        <f t="shared" si="55"/>
        <v>-3928.0466224373267</v>
      </c>
      <c r="W150">
        <f t="shared" si="56"/>
        <v>-0.44352924704572372</v>
      </c>
    </row>
    <row r="151" spans="1:23" x14ac:dyDescent="0.25">
      <c r="A151">
        <v>3.4</v>
      </c>
      <c r="B151">
        <v>-0.68735751869191541</v>
      </c>
      <c r="E151">
        <f t="shared" si="38"/>
        <v>1.390000000000001</v>
      </c>
      <c r="F151">
        <f t="shared" si="39"/>
        <v>-0.44352924704572372</v>
      </c>
      <c r="G151" s="3">
        <f t="shared" si="40"/>
        <v>-0.67833209736017508</v>
      </c>
      <c r="H151" s="3">
        <f t="shared" si="41"/>
        <v>202079.96649967207</v>
      </c>
      <c r="I151" s="3">
        <f t="shared" si="42"/>
        <v>-0.23480285031445136</v>
      </c>
      <c r="J151" s="4">
        <f t="shared" si="43"/>
        <v>-5.8374983953480859</v>
      </c>
      <c r="K151">
        <f t="shared" si="44"/>
        <v>1.3950000000000009</v>
      </c>
      <c r="L151">
        <f t="shared" si="45"/>
        <v>-8.5868395085563094</v>
      </c>
      <c r="M151">
        <f t="shared" si="46"/>
        <v>-0.6452253430081305</v>
      </c>
      <c r="N151" s="3">
        <f t="shared" si="47"/>
        <v>79747.462847474744</v>
      </c>
      <c r="O151" s="3">
        <f t="shared" si="48"/>
        <v>7.9416141655481791</v>
      </c>
      <c r="P151" s="4">
        <f t="shared" si="49"/>
        <v>2909.6536028755695</v>
      </c>
      <c r="Q151">
        <f t="shared" si="50"/>
        <v>1.400000000000001</v>
      </c>
      <c r="R151">
        <f t="shared" si="51"/>
        <v>57.807917794419154</v>
      </c>
      <c r="S151">
        <f t="shared" si="52"/>
        <v>-0.61211858865608193</v>
      </c>
      <c r="T151" s="3">
        <f t="shared" si="53"/>
        <v>836438.22478122462</v>
      </c>
      <c r="U151" s="3">
        <f t="shared" si="54"/>
        <v>-58.420036383075235</v>
      </c>
      <c r="V151" s="4">
        <f t="shared" si="55"/>
        <v>-5534.8244602550558</v>
      </c>
      <c r="W151">
        <f t="shared" si="56"/>
        <v>-0.45858011097245155</v>
      </c>
    </row>
    <row r="152" spans="1:23" x14ac:dyDescent="0.25">
      <c r="A152">
        <v>3.4249999999999998</v>
      </c>
      <c r="B152">
        <v>-0.64632666294388874</v>
      </c>
      <c r="E152">
        <f t="shared" si="38"/>
        <v>1.400000000000001</v>
      </c>
      <c r="F152">
        <f t="shared" si="39"/>
        <v>-0.45858011097245155</v>
      </c>
      <c r="G152" s="3">
        <f t="shared" si="40"/>
        <v>-0.61211858865608193</v>
      </c>
      <c r="H152" s="3">
        <f t="shared" si="41"/>
        <v>201916.06259151001</v>
      </c>
      <c r="I152" s="3">
        <f t="shared" si="42"/>
        <v>-0.15353847768363038</v>
      </c>
      <c r="J152" s="4">
        <f t="shared" si="43"/>
        <v>-3.0892280189633499</v>
      </c>
      <c r="K152">
        <f t="shared" si="44"/>
        <v>1.4050000000000009</v>
      </c>
      <c r="L152">
        <f t="shared" si="45"/>
        <v>-4.7989454776159608</v>
      </c>
      <c r="M152">
        <f t="shared" si="46"/>
        <v>-0.56785656966532916</v>
      </c>
      <c r="N152" s="3">
        <f t="shared" si="47"/>
        <v>154649.4837487622</v>
      </c>
      <c r="O152" s="3">
        <f t="shared" si="48"/>
        <v>4.2310889079506318</v>
      </c>
      <c r="P152" s="4">
        <f t="shared" si="49"/>
        <v>583.47834286415832</v>
      </c>
      <c r="Q152">
        <f t="shared" si="50"/>
        <v>1.410000000000001</v>
      </c>
      <c r="R152">
        <f t="shared" si="51"/>
        <v>11.241879026500349</v>
      </c>
      <c r="S152">
        <f t="shared" si="52"/>
        <v>-0.52359455067457439</v>
      </c>
      <c r="T152" s="3">
        <f t="shared" si="53"/>
        <v>329334.06259858882</v>
      </c>
      <c r="U152" s="3">
        <f t="shared" si="54"/>
        <v>-11.765473577174923</v>
      </c>
      <c r="V152" s="4">
        <f t="shared" si="55"/>
        <v>-1270.4935255744776</v>
      </c>
      <c r="W152">
        <f t="shared" si="56"/>
        <v>-0.46838719238628362</v>
      </c>
    </row>
    <row r="153" spans="1:23" x14ac:dyDescent="0.25">
      <c r="A153">
        <v>3.45</v>
      </c>
      <c r="B153">
        <v>-0.54687970542169495</v>
      </c>
      <c r="E153">
        <f t="shared" si="38"/>
        <v>1.410000000000001</v>
      </c>
      <c r="F153">
        <f t="shared" si="39"/>
        <v>-0.46838719238628362</v>
      </c>
      <c r="G153" s="3">
        <f t="shared" si="40"/>
        <v>-0.52359455067457439</v>
      </c>
      <c r="H153" s="3">
        <f t="shared" si="41"/>
        <v>201809.26347491337</v>
      </c>
      <c r="I153" s="3">
        <f t="shared" si="42"/>
        <v>-5.5207358288290764E-2</v>
      </c>
      <c r="J153" s="4">
        <f t="shared" si="43"/>
        <v>-0.66642202303847897</v>
      </c>
      <c r="K153">
        <f t="shared" si="44"/>
        <v>1.4150000000000009</v>
      </c>
      <c r="L153">
        <f t="shared" si="45"/>
        <v>-1.411374354985732</v>
      </c>
      <c r="M153">
        <f t="shared" si="46"/>
        <v>-0.47933253168382162</v>
      </c>
      <c r="N153" s="3">
        <f t="shared" si="47"/>
        <v>191540.13327420538</v>
      </c>
      <c r="O153" s="3">
        <f t="shared" si="48"/>
        <v>0.93204182330191043</v>
      </c>
      <c r="P153" s="4">
        <f t="shared" si="49"/>
        <v>48.706654960626651</v>
      </c>
      <c r="Q153">
        <f t="shared" si="50"/>
        <v>1.420000000000001</v>
      </c>
      <c r="R153">
        <f t="shared" si="51"/>
        <v>0.51241012705663413</v>
      </c>
      <c r="S153">
        <f t="shared" si="52"/>
        <v>-0.4350705126930669</v>
      </c>
      <c r="T153" s="3">
        <f t="shared" si="53"/>
        <v>212490.14628364675</v>
      </c>
      <c r="U153" s="3">
        <f t="shared" si="54"/>
        <v>-0.94748063974970109</v>
      </c>
      <c r="V153" s="4">
        <f t="shared" si="55"/>
        <v>-44.999916711290112</v>
      </c>
      <c r="W153">
        <f t="shared" si="56"/>
        <v>-0.47341856349039502</v>
      </c>
    </row>
    <row r="154" spans="1:23" x14ac:dyDescent="0.25">
      <c r="A154">
        <v>3.4750000000000001</v>
      </c>
      <c r="B154">
        <v>-0.39852986128507756</v>
      </c>
      <c r="E154">
        <f t="shared" si="38"/>
        <v>1.420000000000001</v>
      </c>
      <c r="F154">
        <f t="shared" si="39"/>
        <v>-0.47341856349039502</v>
      </c>
      <c r="G154" s="3">
        <f t="shared" si="40"/>
        <v>-0.4350705126930669</v>
      </c>
      <c r="H154" s="3">
        <f t="shared" si="41"/>
        <v>201754.47184358959</v>
      </c>
      <c r="I154" s="3">
        <f t="shared" si="42"/>
        <v>3.8348050797328115E-2</v>
      </c>
      <c r="J154" s="4">
        <f t="shared" si="43"/>
        <v>0.38591064641907374</v>
      </c>
      <c r="K154">
        <f t="shared" si="44"/>
        <v>1.4250000000000009</v>
      </c>
      <c r="L154">
        <f t="shared" si="45"/>
        <v>7.6504107656785392E-2</v>
      </c>
      <c r="M154">
        <f t="shared" si="46"/>
        <v>-0.39080849370231285</v>
      </c>
      <c r="N154" s="3">
        <f t="shared" si="47"/>
        <v>207743.1297323824</v>
      </c>
      <c r="O154" s="3">
        <f t="shared" si="48"/>
        <v>-0.46731260135909825</v>
      </c>
      <c r="P154" s="4">
        <f t="shared" si="49"/>
        <v>-15.943349137541132</v>
      </c>
      <c r="Q154">
        <f t="shared" si="50"/>
        <v>1.430000000000001</v>
      </c>
      <c r="R154">
        <f t="shared" si="51"/>
        <v>-0.79614465270540835</v>
      </c>
      <c r="S154">
        <f t="shared" si="52"/>
        <v>-0.33953510564761047</v>
      </c>
      <c r="T154" s="3">
        <f t="shared" si="53"/>
        <v>198239.98473203811</v>
      </c>
      <c r="U154" s="3">
        <f t="shared" si="54"/>
        <v>0.45660954705779788</v>
      </c>
      <c r="V154" s="4">
        <f t="shared" si="55"/>
        <v>16.136941126515868</v>
      </c>
      <c r="W154">
        <f t="shared" si="56"/>
        <v>-0.47594666088045801</v>
      </c>
    </row>
    <row r="155" spans="1:23" x14ac:dyDescent="0.25">
      <c r="A155">
        <v>3.5</v>
      </c>
      <c r="B155">
        <v>-0.21515407511074069</v>
      </c>
      <c r="E155">
        <f t="shared" si="38"/>
        <v>1.430000000000001</v>
      </c>
      <c r="F155">
        <f t="shared" si="39"/>
        <v>-0.47594666088045801</v>
      </c>
      <c r="G155" s="3">
        <f t="shared" si="40"/>
        <v>-0.33953510564761047</v>
      </c>
      <c r="H155" s="3">
        <f t="shared" si="41"/>
        <v>201726.94086301181</v>
      </c>
      <c r="I155" s="3">
        <f t="shared" si="42"/>
        <v>0.13641155523284754</v>
      </c>
      <c r="J155" s="4">
        <f t="shared" si="43"/>
        <v>2.5894517700391915</v>
      </c>
      <c r="K155">
        <f t="shared" si="44"/>
        <v>1.4350000000000009</v>
      </c>
      <c r="L155">
        <f t="shared" si="45"/>
        <v>3.2399166291257844</v>
      </c>
      <c r="M155">
        <f t="shared" si="46"/>
        <v>-0.2882617175929103</v>
      </c>
      <c r="N155" s="3">
        <f t="shared" si="47"/>
        <v>242192.69209117978</v>
      </c>
      <c r="O155" s="3">
        <f t="shared" si="48"/>
        <v>-3.5281783467186947</v>
      </c>
      <c r="P155" s="4">
        <f t="shared" si="49"/>
        <v>-283.70027012060183</v>
      </c>
      <c r="Q155">
        <f t="shared" si="50"/>
        <v>1.4400000000000011</v>
      </c>
      <c r="R155">
        <f t="shared" si="51"/>
        <v>-6.1758465809928857</v>
      </c>
      <c r="S155">
        <f t="shared" si="52"/>
        <v>-0.23698832953820792</v>
      </c>
      <c r="T155" s="3">
        <f t="shared" si="53"/>
        <v>139655.03073298748</v>
      </c>
      <c r="U155" s="3">
        <f t="shared" si="54"/>
        <v>5.9388582514546782</v>
      </c>
      <c r="V155" s="4">
        <f t="shared" si="55"/>
        <v>1074.4664104832195</v>
      </c>
      <c r="W155">
        <f t="shared" si="56"/>
        <v>-0.47394763326357575</v>
      </c>
    </row>
    <row r="156" spans="1:23" x14ac:dyDescent="0.25">
      <c r="A156">
        <v>3.5249999999999999</v>
      </c>
      <c r="B156">
        <v>-1.3693575081812681E-2</v>
      </c>
      <c r="E156">
        <f t="shared" si="38"/>
        <v>1.4400000000000011</v>
      </c>
      <c r="F156">
        <f t="shared" si="39"/>
        <v>-0.47394763326357575</v>
      </c>
      <c r="G156" s="3">
        <f t="shared" si="40"/>
        <v>-0.23698832953820792</v>
      </c>
      <c r="H156" s="3">
        <f t="shared" si="41"/>
        <v>201748.71027375967</v>
      </c>
      <c r="I156" s="3">
        <f t="shared" si="42"/>
        <v>0.23695930372536783</v>
      </c>
      <c r="J156" s="4">
        <f t="shared" si="43"/>
        <v>5.9278181075522687</v>
      </c>
      <c r="K156">
        <f t="shared" si="44"/>
        <v>1.445000000000001</v>
      </c>
      <c r="L156">
        <f t="shared" si="45"/>
        <v>8.0917495321494588</v>
      </c>
      <c r="M156">
        <f t="shared" si="46"/>
        <v>-0.18571494148350778</v>
      </c>
      <c r="N156" s="3">
        <f t="shared" si="47"/>
        <v>295029.15240510763</v>
      </c>
      <c r="O156" s="3">
        <f t="shared" si="48"/>
        <v>-8.2774644736329659</v>
      </c>
      <c r="P156" s="4">
        <f t="shared" si="49"/>
        <v>-836.90477381586493</v>
      </c>
      <c r="Q156">
        <f t="shared" si="50"/>
        <v>1.4500000000000011</v>
      </c>
      <c r="R156">
        <f t="shared" si="51"/>
        <v>-17.271321290656395</v>
      </c>
      <c r="S156">
        <f t="shared" si="52"/>
        <v>-0.1344415534288049</v>
      </c>
      <c r="T156" s="3">
        <f t="shared" si="53"/>
        <v>-198996.97767862611</v>
      </c>
      <c r="U156" s="3">
        <f t="shared" si="54"/>
        <v>17.136879737227591</v>
      </c>
      <c r="V156" s="4">
        <f t="shared" si="55"/>
        <v>-3696.1205845505397</v>
      </c>
      <c r="W156">
        <f t="shared" si="56"/>
        <v>-0.46553010528326005</v>
      </c>
    </row>
    <row r="157" spans="1:23" x14ac:dyDescent="0.25">
      <c r="A157">
        <v>3.55</v>
      </c>
      <c r="B157">
        <v>0.18741222228504167</v>
      </c>
      <c r="E157">
        <f t="shared" si="38"/>
        <v>1.4500000000000011</v>
      </c>
      <c r="F157">
        <f t="shared" si="39"/>
        <v>-0.46553010528326005</v>
      </c>
      <c r="G157" s="3">
        <f t="shared" si="40"/>
        <v>-0.1344415534288049</v>
      </c>
      <c r="H157" s="3">
        <f t="shared" si="41"/>
        <v>201840.37715346529</v>
      </c>
      <c r="I157" s="3">
        <f t="shared" si="42"/>
        <v>0.33108855185445518</v>
      </c>
      <c r="J157" s="4">
        <f t="shared" si="43"/>
        <v>9.7859543595026732</v>
      </c>
      <c r="K157">
        <f t="shared" si="44"/>
        <v>1.455000000000001</v>
      </c>
      <c r="L157">
        <f t="shared" si="45"/>
        <v>13.773033487793139</v>
      </c>
      <c r="M157">
        <f t="shared" si="46"/>
        <v>-8.0928537951248367E-2</v>
      </c>
      <c r="N157" s="3">
        <f t="shared" si="47"/>
        <v>356898.33468206727</v>
      </c>
      <c r="O157" s="3">
        <f t="shared" si="48"/>
        <v>-13.853962025744387</v>
      </c>
      <c r="P157" s="4">
        <f t="shared" si="49"/>
        <v>-1497.9987685545782</v>
      </c>
      <c r="Q157">
        <f t="shared" si="50"/>
        <v>1.4600000000000011</v>
      </c>
      <c r="R157">
        <f t="shared" si="51"/>
        <v>-30.523365019969848</v>
      </c>
      <c r="S157">
        <f t="shared" si="52"/>
        <v>-2.7415522473689471E-2</v>
      </c>
      <c r="T157" s="3">
        <f t="shared" si="53"/>
        <v>-624345.73283044272</v>
      </c>
      <c r="U157" s="3">
        <f t="shared" si="54"/>
        <v>30.495949497496159</v>
      </c>
      <c r="V157" s="4">
        <f t="shared" si="55"/>
        <v>-2796.6175604012979</v>
      </c>
      <c r="W157">
        <f t="shared" si="56"/>
        <v>-0.44980539747455339</v>
      </c>
    </row>
    <row r="158" spans="1:23" x14ac:dyDescent="0.25">
      <c r="A158">
        <v>3.5750000000000002</v>
      </c>
      <c r="B158">
        <v>0.36991358816333353</v>
      </c>
      <c r="E158">
        <f t="shared" si="38"/>
        <v>1.4600000000000011</v>
      </c>
      <c r="F158">
        <f t="shared" si="39"/>
        <v>-0.44980539747455339</v>
      </c>
      <c r="G158" s="3">
        <f t="shared" si="40"/>
        <v>-2.7415522473689471E-2</v>
      </c>
      <c r="H158" s="3">
        <f t="shared" si="41"/>
        <v>202011.6192215021</v>
      </c>
      <c r="I158" s="3">
        <f t="shared" si="42"/>
        <v>0.42238987500086395</v>
      </c>
      <c r="J158" s="4">
        <f t="shared" si="43"/>
        <v>14.089282843836221</v>
      </c>
      <c r="K158">
        <f t="shared" si="44"/>
        <v>1.465000000000001</v>
      </c>
      <c r="L158">
        <f t="shared" si="45"/>
        <v>20.190993968745524</v>
      </c>
      <c r="M158">
        <f t="shared" si="46"/>
        <v>2.6097493003867055E-2</v>
      </c>
      <c r="N158" s="3">
        <f t="shared" si="47"/>
        <v>426789.92431963875</v>
      </c>
      <c r="O158" s="3">
        <f t="shared" si="48"/>
        <v>-20.164896475741656</v>
      </c>
      <c r="P158" s="4">
        <f t="shared" si="49"/>
        <v>-2199.7575937619567</v>
      </c>
      <c r="Q158">
        <f t="shared" si="50"/>
        <v>1.4700000000000011</v>
      </c>
      <c r="R158">
        <f t="shared" si="51"/>
        <v>-44.585850101152054</v>
      </c>
      <c r="S158">
        <f t="shared" si="52"/>
        <v>7.9610508481425965E-2</v>
      </c>
      <c r="T158" s="3">
        <f t="shared" si="53"/>
        <v>-1075707.0960887668</v>
      </c>
      <c r="U158" s="3">
        <f t="shared" si="54"/>
        <v>44.665460609633477</v>
      </c>
      <c r="V158" s="4">
        <f t="shared" si="55"/>
        <v>-2877.1246670499777</v>
      </c>
      <c r="W158">
        <f t="shared" si="56"/>
        <v>-0.42601659193399821</v>
      </c>
    </row>
    <row r="159" spans="1:23" x14ac:dyDescent="0.25">
      <c r="A159">
        <v>3.6</v>
      </c>
      <c r="B159">
        <v>0.51740562254178191</v>
      </c>
      <c r="E159">
        <f t="shared" si="38"/>
        <v>1.4700000000000011</v>
      </c>
      <c r="F159">
        <f t="shared" si="39"/>
        <v>-0.42601659193399821</v>
      </c>
      <c r="G159" s="3">
        <f t="shared" si="40"/>
        <v>7.9610508481425965E-2</v>
      </c>
      <c r="H159" s="3">
        <f t="shared" si="41"/>
        <v>202270.67931383877</v>
      </c>
      <c r="I159" s="3">
        <f t="shared" si="42"/>
        <v>0.50562710041542414</v>
      </c>
      <c r="J159" s="4">
        <f t="shared" si="43"/>
        <v>18.42924612298193</v>
      </c>
      <c r="K159">
        <f t="shared" si="44"/>
        <v>1.475000000000001</v>
      </c>
      <c r="L159">
        <f t="shared" si="45"/>
        <v>26.757121439464367</v>
      </c>
      <c r="M159">
        <f t="shared" si="46"/>
        <v>0.133123523958982</v>
      </c>
      <c r="N159" s="3">
        <f t="shared" si="47"/>
        <v>498295.05247576698</v>
      </c>
      <c r="O159" s="3">
        <f t="shared" si="48"/>
        <v>-26.623997915505385</v>
      </c>
      <c r="P159" s="4">
        <f t="shared" si="49"/>
        <v>-2858.3691722326585</v>
      </c>
      <c r="Q159">
        <f t="shared" si="50"/>
        <v>1.4800000000000011</v>
      </c>
      <c r="R159">
        <f t="shared" si="51"/>
        <v>-57.777692497816986</v>
      </c>
      <c r="S159">
        <f t="shared" si="52"/>
        <v>0.18392106664207244</v>
      </c>
      <c r="T159" s="3">
        <f t="shared" si="53"/>
        <v>-1499123.5785720374</v>
      </c>
      <c r="U159" s="3">
        <f t="shared" si="54"/>
        <v>57.961613564459057</v>
      </c>
      <c r="V159" s="4">
        <f t="shared" si="55"/>
        <v>-3051.8856294198085</v>
      </c>
      <c r="W159">
        <f t="shared" si="56"/>
        <v>-0.39410715645823169</v>
      </c>
    </row>
    <row r="160" spans="1:23" x14ac:dyDescent="0.25">
      <c r="A160">
        <v>3.625</v>
      </c>
      <c r="B160">
        <v>0.61680064425157988</v>
      </c>
      <c r="E160">
        <f t="shared" si="38"/>
        <v>1.4800000000000011</v>
      </c>
      <c r="F160">
        <f t="shared" si="39"/>
        <v>-0.39410715645823169</v>
      </c>
      <c r="G160" s="3">
        <f t="shared" si="40"/>
        <v>0.18392106664207244</v>
      </c>
      <c r="H160" s="3">
        <f t="shared" si="41"/>
        <v>202618.17306616987</v>
      </c>
      <c r="I160" s="3">
        <f t="shared" si="42"/>
        <v>0.57802822310030411</v>
      </c>
      <c r="J160" s="4">
        <f t="shared" si="43"/>
        <v>22.487447342655919</v>
      </c>
      <c r="K160">
        <f t="shared" si="44"/>
        <v>1.485000000000001</v>
      </c>
      <c r="L160">
        <f t="shared" si="45"/>
        <v>32.999752147385827</v>
      </c>
      <c r="M160">
        <f t="shared" si="46"/>
        <v>0.23471860932516064</v>
      </c>
      <c r="N160" s="3">
        <f t="shared" si="47"/>
        <v>566277.3008850317</v>
      </c>
      <c r="O160" s="3">
        <f t="shared" si="48"/>
        <v>-32.765033538060663</v>
      </c>
      <c r="P160" s="4">
        <f t="shared" si="49"/>
        <v>-3433.8534817072218</v>
      </c>
      <c r="Q160">
        <f t="shared" si="50"/>
        <v>1.4900000000000011</v>
      </c>
      <c r="R160">
        <f t="shared" si="51"/>
        <v>-69.296051264029231</v>
      </c>
      <c r="S160">
        <f t="shared" si="52"/>
        <v>0.28551615200825109</v>
      </c>
      <c r="T160" s="3">
        <f t="shared" si="53"/>
        <v>-1868826.5212029256</v>
      </c>
      <c r="U160" s="3">
        <f t="shared" si="54"/>
        <v>69.581567416037487</v>
      </c>
      <c r="V160" s="4">
        <f t="shared" si="55"/>
        <v>-3220.0848171568773</v>
      </c>
      <c r="W160">
        <f t="shared" si="56"/>
        <v>-0.35458742657162368</v>
      </c>
    </row>
    <row r="161" spans="1:23" x14ac:dyDescent="0.25">
      <c r="A161">
        <v>3.65</v>
      </c>
      <c r="B161">
        <v>0.65948590069772006</v>
      </c>
      <c r="E161">
        <f t="shared" si="38"/>
        <v>1.4900000000000011</v>
      </c>
      <c r="F161">
        <f t="shared" si="39"/>
        <v>-0.35458742657162368</v>
      </c>
      <c r="G161" s="3">
        <f t="shared" si="40"/>
        <v>0.28551615200825109</v>
      </c>
      <c r="H161" s="3">
        <f t="shared" si="41"/>
        <v>203048.54292463502</v>
      </c>
      <c r="I161" s="3">
        <f t="shared" si="42"/>
        <v>0.64010357857987477</v>
      </c>
      <c r="J161" s="4">
        <f t="shared" si="43"/>
        <v>26.149927790269199</v>
      </c>
      <c r="K161">
        <f t="shared" si="44"/>
        <v>1.495000000000001</v>
      </c>
      <c r="L161">
        <f t="shared" si="45"/>
        <v>38.739554619880856</v>
      </c>
      <c r="M161">
        <f t="shared" si="46"/>
        <v>0.33631369469133926</v>
      </c>
      <c r="N161" s="3">
        <f t="shared" si="47"/>
        <v>628783.74981050252</v>
      </c>
      <c r="O161" s="3">
        <f t="shared" si="48"/>
        <v>-38.403240925189515</v>
      </c>
      <c r="P161" s="4">
        <f t="shared" si="49"/>
        <v>-3924.1490480875505</v>
      </c>
      <c r="Q161">
        <f t="shared" si="50"/>
        <v>1.5000000000000011</v>
      </c>
      <c r="R161">
        <f t="shared" si="51"/>
        <v>-79.099067666225324</v>
      </c>
      <c r="S161">
        <f t="shared" si="52"/>
        <v>0.3871112373744281</v>
      </c>
      <c r="T161" s="3">
        <f t="shared" si="53"/>
        <v>-2183472.3908195184</v>
      </c>
      <c r="U161" s="3">
        <f t="shared" si="54"/>
        <v>79.48617890359975</v>
      </c>
      <c r="V161" s="4">
        <f t="shared" si="55"/>
        <v>-3364.997249263668</v>
      </c>
      <c r="W161">
        <f t="shared" si="56"/>
        <v>-0.30811693689427538</v>
      </c>
    </row>
    <row r="162" spans="1:23" x14ac:dyDescent="0.25">
      <c r="A162">
        <v>3.6749999999999998</v>
      </c>
      <c r="B162">
        <v>0.64206455406133311</v>
      </c>
      <c r="E162">
        <f t="shared" si="38"/>
        <v>1.5000000000000011</v>
      </c>
      <c r="F162">
        <f t="shared" si="39"/>
        <v>-0.30811693689427538</v>
      </c>
      <c r="G162" s="3">
        <f t="shared" si="40"/>
        <v>0.3871112373744281</v>
      </c>
      <c r="H162" s="3">
        <f t="shared" si="41"/>
        <v>203554.60655722133</v>
      </c>
      <c r="I162" s="3">
        <f t="shared" si="42"/>
        <v>0.69522817426870342</v>
      </c>
      <c r="J162" s="4">
        <f t="shared" si="43"/>
        <v>29.526032868516435</v>
      </c>
      <c r="K162">
        <f t="shared" si="44"/>
        <v>1.505000000000001</v>
      </c>
      <c r="L162">
        <f t="shared" si="45"/>
        <v>44.128562530222993</v>
      </c>
      <c r="M162">
        <f t="shared" si="46"/>
        <v>0.4305140050083659</v>
      </c>
      <c r="N162" s="3">
        <f t="shared" si="47"/>
        <v>687470.04595412838</v>
      </c>
      <c r="O162" s="3">
        <f t="shared" si="48"/>
        <v>-43.698048525214624</v>
      </c>
      <c r="P162" s="4">
        <f t="shared" si="49"/>
        <v>-4356.4654323844306</v>
      </c>
      <c r="Q162">
        <f t="shared" si="50"/>
        <v>1.5100000000000011</v>
      </c>
      <c r="R162">
        <f t="shared" si="51"/>
        <v>-87.732685913268057</v>
      </c>
      <c r="S162">
        <f t="shared" si="52"/>
        <v>0.47391677264230564</v>
      </c>
      <c r="T162" s="3">
        <f t="shared" si="53"/>
        <v>-2460584.2724919678</v>
      </c>
      <c r="U162" s="3">
        <f t="shared" si="54"/>
        <v>88.206602685910369</v>
      </c>
      <c r="V162" s="4">
        <f t="shared" si="55"/>
        <v>-3490.6667389051554</v>
      </c>
      <c r="W162">
        <f t="shared" si="56"/>
        <v>-0.25524692745895505</v>
      </c>
    </row>
    <row r="163" spans="1:23" x14ac:dyDescent="0.25">
      <c r="A163">
        <v>3.7</v>
      </c>
      <c r="B163">
        <v>0.56661674406561624</v>
      </c>
      <c r="E163">
        <f t="shared" si="38"/>
        <v>1.5100000000000011</v>
      </c>
      <c r="F163">
        <f t="shared" si="39"/>
        <v>-0.25524692745895505</v>
      </c>
      <c r="G163" s="3">
        <f t="shared" si="40"/>
        <v>0.47391677264230564</v>
      </c>
      <c r="H163" s="3">
        <f t="shared" si="41"/>
        <v>204130.36095997199</v>
      </c>
      <c r="I163" s="3">
        <f t="shared" si="42"/>
        <v>0.72916370010126075</v>
      </c>
      <c r="J163" s="4">
        <f t="shared" si="43"/>
        <v>31.62459301058567</v>
      </c>
      <c r="K163">
        <f t="shared" si="44"/>
        <v>1.515000000000001</v>
      </c>
      <c r="L163">
        <f t="shared" si="45"/>
        <v>47.656011483578368</v>
      </c>
      <c r="M163">
        <f t="shared" si="46"/>
        <v>0.51731954027624349</v>
      </c>
      <c r="N163" s="3">
        <f t="shared" si="47"/>
        <v>725883.96505616838</v>
      </c>
      <c r="O163" s="3">
        <f t="shared" si="48"/>
        <v>-47.138691943302128</v>
      </c>
      <c r="P163" s="4">
        <f t="shared" si="49"/>
        <v>-4622.6826117815708</v>
      </c>
      <c r="Q163">
        <f t="shared" si="50"/>
        <v>1.5200000000000011</v>
      </c>
      <c r="R163">
        <f t="shared" si="51"/>
        <v>-93.02514509319623</v>
      </c>
      <c r="S163">
        <f t="shared" si="52"/>
        <v>0.56072230791018329</v>
      </c>
      <c r="T163" s="3">
        <f t="shared" si="53"/>
        <v>-2630455.4991386733</v>
      </c>
      <c r="U163" s="3">
        <f t="shared" si="54"/>
        <v>93.585867401106412</v>
      </c>
      <c r="V163" s="4">
        <f t="shared" si="55"/>
        <v>-3568.4485090047633</v>
      </c>
      <c r="W163">
        <f t="shared" si="56"/>
        <v>-0.198155938326287</v>
      </c>
    </row>
    <row r="164" spans="1:23" x14ac:dyDescent="0.25">
      <c r="A164">
        <v>3.7250000000000001</v>
      </c>
      <c r="B164">
        <v>0.44046170395730633</v>
      </c>
      <c r="E164">
        <f t="shared" si="38"/>
        <v>1.5200000000000011</v>
      </c>
      <c r="F164">
        <f t="shared" si="39"/>
        <v>-0.198155938326287</v>
      </c>
      <c r="G164" s="3">
        <f t="shared" si="40"/>
        <v>0.56072230791018329</v>
      </c>
      <c r="H164" s="3">
        <f t="shared" si="41"/>
        <v>204752.08183162674</v>
      </c>
      <c r="I164" s="3">
        <f t="shared" si="42"/>
        <v>0.75887824623647027</v>
      </c>
      <c r="J164" s="4">
        <f t="shared" si="43"/>
        <v>33.4753262117924</v>
      </c>
      <c r="K164">
        <f t="shared" si="44"/>
        <v>1.525000000000001</v>
      </c>
      <c r="L164">
        <f t="shared" si="45"/>
        <v>50.851716534657157</v>
      </c>
      <c r="M164">
        <f t="shared" si="46"/>
        <v>0.60412507554411854</v>
      </c>
      <c r="N164" s="3">
        <f t="shared" si="47"/>
        <v>760685.19306241639</v>
      </c>
      <c r="O164" s="3">
        <f t="shared" si="48"/>
        <v>-50.247591459113039</v>
      </c>
      <c r="P164" s="4">
        <f t="shared" si="49"/>
        <v>-4854.7056157079287</v>
      </c>
      <c r="Q164">
        <f t="shared" si="50"/>
        <v>1.5300000000000011</v>
      </c>
      <c r="R164">
        <f t="shared" si="51"/>
        <v>-97.627021514602788</v>
      </c>
      <c r="S164">
        <f t="shared" si="52"/>
        <v>0.63616081020326842</v>
      </c>
      <c r="T164" s="3">
        <f t="shared" si="53"/>
        <v>-2778161.200024493</v>
      </c>
      <c r="U164" s="3">
        <f t="shared" si="54"/>
        <v>98.263182324806053</v>
      </c>
      <c r="V164" s="4">
        <f t="shared" si="55"/>
        <v>-3635.1621214096126</v>
      </c>
      <c r="W164">
        <f t="shared" si="56"/>
        <v>-0.13727595945266677</v>
      </c>
    </row>
    <row r="165" spans="1:23" x14ac:dyDescent="0.25">
      <c r="A165">
        <v>3.75</v>
      </c>
      <c r="B165">
        <v>0.27544734796747561</v>
      </c>
      <c r="E165">
        <f t="shared" si="38"/>
        <v>1.5300000000000011</v>
      </c>
      <c r="F165">
        <f t="shared" si="39"/>
        <v>-0.13727595945266677</v>
      </c>
      <c r="G165" s="3">
        <f t="shared" si="40"/>
        <v>0.63616081020326842</v>
      </c>
      <c r="H165" s="3">
        <f t="shared" si="41"/>
        <v>205415.06480156045</v>
      </c>
      <c r="I165" s="3">
        <f t="shared" si="42"/>
        <v>0.77343676965593522</v>
      </c>
      <c r="J165" s="4">
        <f t="shared" si="43"/>
        <v>34.332064513353153</v>
      </c>
      <c r="K165">
        <f t="shared" si="44"/>
        <v>1.535000000000001</v>
      </c>
      <c r="L165">
        <f t="shared" si="45"/>
        <v>52.562443068544461</v>
      </c>
      <c r="M165">
        <f t="shared" si="46"/>
        <v>0.66819654486241686</v>
      </c>
      <c r="N165" s="3">
        <f t="shared" si="47"/>
        <v>779315.00501644914</v>
      </c>
      <c r="O165" s="3">
        <f t="shared" si="48"/>
        <v>-51.894246523682042</v>
      </c>
      <c r="P165" s="4">
        <f t="shared" si="49"/>
        <v>-4973.4844700348431</v>
      </c>
      <c r="Q165">
        <f t="shared" si="50"/>
        <v>1.5400000000000011</v>
      </c>
      <c r="R165">
        <f t="shared" si="51"/>
        <v>-99.950286005283061</v>
      </c>
      <c r="S165">
        <f t="shared" si="52"/>
        <v>0.70023227952156664</v>
      </c>
      <c r="T165" s="3">
        <f t="shared" si="53"/>
        <v>-2852730.6535506221</v>
      </c>
      <c r="U165" s="3">
        <f t="shared" si="54"/>
        <v>100.65051828480463</v>
      </c>
      <c r="V165" s="4">
        <f t="shared" si="55"/>
        <v>-3669.9339079696488</v>
      </c>
      <c r="W165">
        <f t="shared" si="56"/>
        <v>-7.4434154498792801E-2</v>
      </c>
    </row>
    <row r="166" spans="1:23" x14ac:dyDescent="0.25">
      <c r="A166">
        <v>3.7749999999999999</v>
      </c>
      <c r="B166">
        <v>8.6836317751242925E-2</v>
      </c>
      <c r="E166">
        <f t="shared" si="38"/>
        <v>1.5400000000000011</v>
      </c>
      <c r="F166">
        <f t="shared" si="39"/>
        <v>-7.4434154498792801E-2</v>
      </c>
      <c r="G166" s="3">
        <f t="shared" si="40"/>
        <v>0.70023227952156664</v>
      </c>
      <c r="H166" s="3">
        <f t="shared" si="41"/>
        <v>206099.41205750813</v>
      </c>
      <c r="I166" s="3">
        <f t="shared" si="42"/>
        <v>0.7746664340203594</v>
      </c>
      <c r="J166" s="4">
        <f t="shared" si="43"/>
        <v>34.299701736664048</v>
      </c>
      <c r="K166">
        <f t="shared" si="44"/>
        <v>1.545000000000001</v>
      </c>
      <c r="L166">
        <f t="shared" si="45"/>
        <v>52.918605028647193</v>
      </c>
      <c r="M166">
        <f t="shared" si="46"/>
        <v>0.73226801418071508</v>
      </c>
      <c r="N166" s="3">
        <f t="shared" si="47"/>
        <v>783193.60876196797</v>
      </c>
      <c r="O166" s="3">
        <f t="shared" si="48"/>
        <v>-52.186337014466474</v>
      </c>
      <c r="P166" s="4">
        <f t="shared" si="49"/>
        <v>-4990.6955321880505</v>
      </c>
      <c r="Q166">
        <f t="shared" si="50"/>
        <v>1.5500000000000012</v>
      </c>
      <c r="R166">
        <f t="shared" si="51"/>
        <v>-100.23134181562644</v>
      </c>
      <c r="S166">
        <f t="shared" si="52"/>
        <v>0.76430374883986185</v>
      </c>
      <c r="T166" s="3">
        <f t="shared" si="53"/>
        <v>-2861751.6575179803</v>
      </c>
      <c r="U166" s="3">
        <f t="shared" si="54"/>
        <v>100.9956455644663</v>
      </c>
      <c r="V166" s="4">
        <f t="shared" si="55"/>
        <v>-3677.1980387285039</v>
      </c>
      <c r="W166">
        <f t="shared" si="56"/>
        <v>-1.1112358595081515E-2</v>
      </c>
    </row>
    <row r="167" spans="1:23" x14ac:dyDescent="0.25">
      <c r="A167">
        <v>3.8</v>
      </c>
      <c r="B167">
        <v>-0.10810665791434489</v>
      </c>
      <c r="E167">
        <f t="shared" si="38"/>
        <v>1.5500000000000012</v>
      </c>
      <c r="F167">
        <f t="shared" si="39"/>
        <v>-1.1112358595081515E-2</v>
      </c>
      <c r="G167" s="3">
        <f t="shared" si="40"/>
        <v>0.76430374883986185</v>
      </c>
      <c r="H167" s="3">
        <f t="shared" si="41"/>
        <v>206788.98641489955</v>
      </c>
      <c r="I167" s="3">
        <f t="shared" si="42"/>
        <v>0.77541610743494338</v>
      </c>
      <c r="J167" s="4">
        <f t="shared" si="43"/>
        <v>34.234958939964827</v>
      </c>
      <c r="K167">
        <f t="shared" si="44"/>
        <v>1.555000000000001</v>
      </c>
      <c r="L167">
        <f t="shared" si="45"/>
        <v>53.224248793050258</v>
      </c>
      <c r="M167">
        <f t="shared" si="46"/>
        <v>0.78207080942152563</v>
      </c>
      <c r="N167" s="3">
        <f t="shared" si="47"/>
        <v>786522.06935631728</v>
      </c>
      <c r="O167" s="3">
        <f t="shared" si="48"/>
        <v>-52.442177983628731</v>
      </c>
      <c r="P167" s="4">
        <f t="shared" si="49"/>
        <v>-5006.1649536047207</v>
      </c>
      <c r="Q167">
        <f t="shared" si="50"/>
        <v>1.5600000000000012</v>
      </c>
      <c r="R167">
        <f t="shared" si="51"/>
        <v>-100.47676102008914</v>
      </c>
      <c r="S167">
        <f t="shared" si="52"/>
        <v>0.79983787000319018</v>
      </c>
      <c r="T167" s="3">
        <f t="shared" si="53"/>
        <v>-2869628.838973219</v>
      </c>
      <c r="U167" s="3">
        <f t="shared" si="54"/>
        <v>101.27659889009233</v>
      </c>
      <c r="V167" s="4">
        <f t="shared" si="55"/>
        <v>-3682.4166259174563</v>
      </c>
      <c r="W167">
        <f t="shared" si="56"/>
        <v>5.249277481767535E-2</v>
      </c>
    </row>
    <row r="168" spans="1:23" x14ac:dyDescent="0.25">
      <c r="A168">
        <v>3.8250000000000002</v>
      </c>
      <c r="B168">
        <v>-0.29169525018735043</v>
      </c>
      <c r="E168">
        <f t="shared" si="38"/>
        <v>1.5600000000000012</v>
      </c>
      <c r="F168">
        <f t="shared" si="39"/>
        <v>5.249277481767535E-2</v>
      </c>
      <c r="G168" s="3">
        <f t="shared" si="40"/>
        <v>0.79983787000319018</v>
      </c>
      <c r="H168" s="3">
        <f t="shared" si="41"/>
        <v>207481.64631776448</v>
      </c>
      <c r="I168" s="3">
        <f t="shared" si="42"/>
        <v>0.74734509518551484</v>
      </c>
      <c r="J168" s="4">
        <f t="shared" si="43"/>
        <v>32.284724599317315</v>
      </c>
      <c r="K168">
        <f t="shared" si="44"/>
        <v>1.5650000000000011</v>
      </c>
      <c r="L168">
        <f t="shared" si="45"/>
        <v>50.578086772749302</v>
      </c>
      <c r="M168">
        <f t="shared" si="46"/>
        <v>0.81760493058485395</v>
      </c>
      <c r="N168" s="3">
        <f t="shared" si="47"/>
        <v>757705.36495523993</v>
      </c>
      <c r="O168" s="3">
        <f t="shared" si="48"/>
        <v>-49.760481842164445</v>
      </c>
      <c r="P168" s="4">
        <f t="shared" si="49"/>
        <v>-4803.0984865064365</v>
      </c>
      <c r="Q168">
        <f t="shared" si="50"/>
        <v>1.5700000000000012</v>
      </c>
      <c r="R168">
        <f t="shared" si="51"/>
        <v>-96.332324201304232</v>
      </c>
      <c r="S168">
        <f t="shared" si="52"/>
        <v>0.8353719911665185</v>
      </c>
      <c r="T168" s="3">
        <f t="shared" si="53"/>
        <v>-2736605.5047854409</v>
      </c>
      <c r="U168" s="3">
        <f t="shared" si="54"/>
        <v>97.167696192470757</v>
      </c>
      <c r="V168" s="4">
        <f t="shared" si="55"/>
        <v>-3628.8218774001552</v>
      </c>
      <c r="W168">
        <f t="shared" si="56"/>
        <v>0.11314363533904744</v>
      </c>
    </row>
    <row r="169" spans="1:23" x14ac:dyDescent="0.25">
      <c r="A169">
        <v>3.85</v>
      </c>
      <c r="B169">
        <v>-0.44742516573250946</v>
      </c>
      <c r="E169">
        <f t="shared" si="38"/>
        <v>1.5700000000000012</v>
      </c>
      <c r="F169">
        <f t="shared" si="39"/>
        <v>0.11314363533904744</v>
      </c>
      <c r="G169" s="3">
        <f t="shared" si="40"/>
        <v>0.8353719911665185</v>
      </c>
      <c r="H169" s="3">
        <f t="shared" si="41"/>
        <v>208142.13418884223</v>
      </c>
      <c r="I169" s="3">
        <f t="shared" si="42"/>
        <v>0.72222835582747102</v>
      </c>
      <c r="J169" s="4">
        <f t="shared" si="43"/>
        <v>30.573614725833238</v>
      </c>
      <c r="K169">
        <f t="shared" si="44"/>
        <v>1.5750000000000011</v>
      </c>
      <c r="L169">
        <f t="shared" si="45"/>
        <v>48.266586828526435</v>
      </c>
      <c r="M169">
        <f t="shared" si="46"/>
        <v>0.85313905174817883</v>
      </c>
      <c r="N169" s="3">
        <f t="shared" si="47"/>
        <v>732533.13056265283</v>
      </c>
      <c r="O169" s="3">
        <f t="shared" si="48"/>
        <v>-47.413447776778256</v>
      </c>
      <c r="P169" s="4">
        <f t="shared" si="49"/>
        <v>-4620.8303369432751</v>
      </c>
      <c r="Q169">
        <f t="shared" si="50"/>
        <v>1.5800000000000012</v>
      </c>
      <c r="R169">
        <f t="shared" si="51"/>
        <v>-92.609199250784798</v>
      </c>
      <c r="S169">
        <f t="shared" si="52"/>
        <v>0.85506903281377478</v>
      </c>
      <c r="T169" s="3">
        <f t="shared" si="53"/>
        <v>-2617104.9511104529</v>
      </c>
      <c r="U169" s="3">
        <f t="shared" si="54"/>
        <v>93.464268283598571</v>
      </c>
      <c r="V169" s="4">
        <f t="shared" si="55"/>
        <v>-3579.6640065059519</v>
      </c>
      <c r="W169">
        <f t="shared" si="56"/>
        <v>0.17121236861511366</v>
      </c>
    </row>
    <row r="170" spans="1:23" x14ac:dyDescent="0.25">
      <c r="A170">
        <v>3.875</v>
      </c>
      <c r="B170">
        <v>-0.56145562320272169</v>
      </c>
      <c r="E170">
        <f t="shared" si="38"/>
        <v>1.5800000000000012</v>
      </c>
      <c r="F170">
        <f t="shared" si="39"/>
        <v>0.17121236861511366</v>
      </c>
      <c r="G170" s="3">
        <f t="shared" si="40"/>
        <v>0.85506903281377478</v>
      </c>
      <c r="H170" s="3">
        <f t="shared" si="41"/>
        <v>208774.50269421859</v>
      </c>
      <c r="I170" s="3">
        <f t="shared" si="42"/>
        <v>0.68385666419866109</v>
      </c>
      <c r="J170" s="4">
        <f t="shared" si="43"/>
        <v>28.084400383572785</v>
      </c>
      <c r="K170">
        <f t="shared" si="44"/>
        <v>1.5850000000000011</v>
      </c>
      <c r="L170">
        <f t="shared" si="45"/>
        <v>44.68498697657801</v>
      </c>
      <c r="M170">
        <f t="shared" si="46"/>
        <v>0.85699901387937072</v>
      </c>
      <c r="N170" s="3">
        <f t="shared" si="47"/>
        <v>693529.50817493454</v>
      </c>
      <c r="O170" s="3">
        <f t="shared" si="48"/>
        <v>-43.827987962698636</v>
      </c>
      <c r="P170" s="4">
        <f t="shared" si="49"/>
        <v>-4337.678351645005</v>
      </c>
      <c r="Q170">
        <f t="shared" si="50"/>
        <v>1.5900000000000012</v>
      </c>
      <c r="R170">
        <f t="shared" si="51"/>
        <v>-86.863198668120717</v>
      </c>
      <c r="S170">
        <f t="shared" si="52"/>
        <v>0.85892899494496666</v>
      </c>
      <c r="T170" s="3">
        <f t="shared" si="53"/>
        <v>-2432676.4776719334</v>
      </c>
      <c r="U170" s="3">
        <f t="shared" si="54"/>
        <v>87.722127663065677</v>
      </c>
      <c r="V170" s="4">
        <f t="shared" si="55"/>
        <v>-3501.6631659355321</v>
      </c>
      <c r="W170">
        <f t="shared" si="56"/>
        <v>0.22516457767183906</v>
      </c>
    </row>
    <row r="171" spans="1:23" x14ac:dyDescent="0.25">
      <c r="A171">
        <v>3.9</v>
      </c>
      <c r="B171">
        <v>-0.62383591075622258</v>
      </c>
      <c r="E171">
        <f t="shared" si="38"/>
        <v>1.5900000000000012</v>
      </c>
      <c r="F171">
        <f t="shared" si="39"/>
        <v>0.22516457767183906</v>
      </c>
      <c r="G171" s="3">
        <f t="shared" si="40"/>
        <v>0.85892899494496666</v>
      </c>
      <c r="H171" s="3">
        <f t="shared" si="41"/>
        <v>209362.04225084634</v>
      </c>
      <c r="I171" s="3">
        <f t="shared" si="42"/>
        <v>0.6337644172731276</v>
      </c>
      <c r="J171" s="4">
        <f t="shared" si="43"/>
        <v>24.985544631688327</v>
      </c>
      <c r="K171">
        <f t="shared" si="44"/>
        <v>1.5950000000000011</v>
      </c>
      <c r="L171">
        <f t="shared" si="45"/>
        <v>40.077108265214747</v>
      </c>
      <c r="M171">
        <f t="shared" si="46"/>
        <v>0.8608589760105626</v>
      </c>
      <c r="N171" s="3">
        <f t="shared" si="47"/>
        <v>643349.70900818857</v>
      </c>
      <c r="O171" s="3">
        <f t="shared" si="48"/>
        <v>-39.216249289204185</v>
      </c>
      <c r="P171" s="4">
        <f t="shared" si="49"/>
        <v>-3957.7372786188366</v>
      </c>
      <c r="Q171">
        <f t="shared" si="50"/>
        <v>1.6000000000000012</v>
      </c>
      <c r="R171">
        <f t="shared" si="51"/>
        <v>-79.179436441021778</v>
      </c>
      <c r="S171">
        <f t="shared" si="52"/>
        <v>0.86278895707615499</v>
      </c>
      <c r="T171" s="3">
        <f t="shared" si="53"/>
        <v>-2186051.9746943535</v>
      </c>
      <c r="U171" s="3">
        <f t="shared" si="54"/>
        <v>80.042225398097926</v>
      </c>
      <c r="V171" s="4">
        <f t="shared" si="55"/>
        <v>-3396.3562451544153</v>
      </c>
      <c r="W171">
        <f t="shared" si="56"/>
        <v>0.27398419349318359</v>
      </c>
    </row>
    <row r="172" spans="1:23" x14ac:dyDescent="0.25">
      <c r="A172">
        <v>3.9249999999999998</v>
      </c>
      <c r="B172">
        <v>-0.62936868736969898</v>
      </c>
      <c r="E172">
        <f t="shared" si="38"/>
        <v>1.6000000000000012</v>
      </c>
      <c r="F172">
        <f t="shared" si="39"/>
        <v>0.27398419349318359</v>
      </c>
      <c r="G172" s="3">
        <f t="shared" si="40"/>
        <v>0.86278895707615499</v>
      </c>
      <c r="H172" s="3">
        <f t="shared" si="41"/>
        <v>209893.68786714078</v>
      </c>
      <c r="I172" s="3">
        <f t="shared" si="42"/>
        <v>0.5888047635829714</v>
      </c>
      <c r="J172" s="4">
        <f t="shared" si="43"/>
        <v>22.317861732292634</v>
      </c>
      <c r="K172">
        <f t="shared" si="44"/>
        <v>1.6050000000000011</v>
      </c>
      <c r="L172">
        <f t="shared" si="45"/>
        <v>36.094152273822885</v>
      </c>
      <c r="M172">
        <f t="shared" si="46"/>
        <v>0.84878460472821737</v>
      </c>
      <c r="N172" s="3">
        <f t="shared" si="47"/>
        <v>599975.31826193118</v>
      </c>
      <c r="O172" s="3">
        <f t="shared" si="48"/>
        <v>-35.245367669094669</v>
      </c>
      <c r="P172" s="4">
        <f t="shared" si="49"/>
        <v>-3615.8855171193754</v>
      </c>
      <c r="Q172">
        <f t="shared" si="50"/>
        <v>1.6100000000000012</v>
      </c>
      <c r="R172">
        <f t="shared" si="51"/>
        <v>-72.266904766217252</v>
      </c>
      <c r="S172">
        <f t="shared" si="52"/>
        <v>0.8347802523802792</v>
      </c>
      <c r="T172" s="3">
        <f t="shared" si="53"/>
        <v>-1964181.5369805226</v>
      </c>
      <c r="U172" s="3">
        <f t="shared" si="54"/>
        <v>73.101685018597536</v>
      </c>
      <c r="V172" s="4">
        <f t="shared" si="55"/>
        <v>-3299.1681097423948</v>
      </c>
      <c r="W172">
        <f t="shared" si="56"/>
        <v>0.31823049416582655</v>
      </c>
    </row>
    <row r="173" spans="1:23" x14ac:dyDescent="0.25">
      <c r="A173">
        <v>3.95</v>
      </c>
      <c r="B173">
        <v>-0.57803564609512748</v>
      </c>
      <c r="E173">
        <f t="shared" si="38"/>
        <v>1.6100000000000012</v>
      </c>
      <c r="F173">
        <f t="shared" si="39"/>
        <v>0.31823049416582655</v>
      </c>
      <c r="G173" s="3">
        <f t="shared" si="40"/>
        <v>0.8347802523802792</v>
      </c>
      <c r="H173" s="3">
        <f t="shared" si="41"/>
        <v>210375.53008146584</v>
      </c>
      <c r="I173" s="3">
        <f t="shared" si="42"/>
        <v>0.5165497582144527</v>
      </c>
      <c r="J173" s="4">
        <f t="shared" si="43"/>
        <v>18.296499542855351</v>
      </c>
      <c r="K173">
        <f t="shared" si="44"/>
        <v>1.6150000000000011</v>
      </c>
      <c r="L173">
        <f t="shared" si="45"/>
        <v>29.867077255877241</v>
      </c>
      <c r="M173">
        <f t="shared" si="46"/>
        <v>0.82077590003234169</v>
      </c>
      <c r="N173" s="3">
        <f t="shared" si="47"/>
        <v>532162.47131650313</v>
      </c>
      <c r="O173" s="3">
        <f t="shared" si="48"/>
        <v>-29.0463013558449</v>
      </c>
      <c r="P173" s="4">
        <f t="shared" si="49"/>
        <v>-3049.9098492647595</v>
      </c>
      <c r="Q173">
        <f t="shared" si="50"/>
        <v>1.6200000000000012</v>
      </c>
      <c r="R173">
        <f t="shared" si="51"/>
        <v>-60.862931486557912</v>
      </c>
      <c r="S173">
        <f t="shared" si="52"/>
        <v>0.80677154768440351</v>
      </c>
      <c r="T173" s="3">
        <f t="shared" si="53"/>
        <v>-1598150.0072506566</v>
      </c>
      <c r="U173" s="3">
        <f t="shared" si="54"/>
        <v>61.669703034242318</v>
      </c>
      <c r="V173" s="4">
        <f t="shared" si="55"/>
        <v>-3141.848453593168</v>
      </c>
      <c r="W173">
        <f t="shared" si="56"/>
        <v>0.3555411186502751</v>
      </c>
    </row>
    <row r="174" spans="1:23" x14ac:dyDescent="0.25">
      <c r="A174">
        <v>3.9750000000000001</v>
      </c>
      <c r="B174">
        <v>-0.47495146827372925</v>
      </c>
      <c r="E174">
        <f t="shared" si="38"/>
        <v>1.6200000000000012</v>
      </c>
      <c r="F174">
        <f t="shared" si="39"/>
        <v>0.3555411186502751</v>
      </c>
      <c r="G174" s="3">
        <f t="shared" si="40"/>
        <v>0.80677154768440351</v>
      </c>
      <c r="H174" s="3">
        <f t="shared" si="41"/>
        <v>210781.84278210151</v>
      </c>
      <c r="I174" s="3">
        <f t="shared" si="42"/>
        <v>0.45123042903412841</v>
      </c>
      <c r="J174" s="4">
        <f t="shared" si="43"/>
        <v>14.909372308358559</v>
      </c>
      <c r="K174">
        <f t="shared" si="44"/>
        <v>1.6250000000000011</v>
      </c>
      <c r="L174">
        <f t="shared" si="45"/>
        <v>24.583271119732952</v>
      </c>
      <c r="M174">
        <f t="shared" si="46"/>
        <v>0.79276719533646267</v>
      </c>
      <c r="N174" s="3">
        <f t="shared" si="47"/>
        <v>474621.82249389187</v>
      </c>
      <c r="O174" s="3">
        <f t="shared" si="48"/>
        <v>-23.790503924396489</v>
      </c>
      <c r="P174" s="4">
        <f t="shared" si="49"/>
        <v>-2534.8528177010653</v>
      </c>
      <c r="Q174">
        <f t="shared" si="50"/>
        <v>1.6300000000000012</v>
      </c>
      <c r="R174">
        <f t="shared" si="51"/>
        <v>-50.490608958454615</v>
      </c>
      <c r="S174">
        <f t="shared" si="52"/>
        <v>0.76420354707020055</v>
      </c>
      <c r="T174" s="3">
        <f t="shared" si="53"/>
        <v>-1265231.2088012611</v>
      </c>
      <c r="U174" s="3">
        <f t="shared" si="54"/>
        <v>51.254812505524818</v>
      </c>
      <c r="V174" s="4">
        <f t="shared" si="55"/>
        <v>-3006.9559526506273</v>
      </c>
      <c r="W174">
        <f t="shared" si="56"/>
        <v>0.38694885971156612</v>
      </c>
    </row>
    <row r="175" spans="1:23" x14ac:dyDescent="0.25">
      <c r="A175">
        <v>4</v>
      </c>
      <c r="B175">
        <v>-0.32985494928062531</v>
      </c>
      <c r="E175">
        <f t="shared" si="38"/>
        <v>1.6300000000000012</v>
      </c>
      <c r="F175">
        <f t="shared" si="39"/>
        <v>0.38694885971156612</v>
      </c>
      <c r="G175" s="3">
        <f t="shared" si="40"/>
        <v>0.76420354707020055</v>
      </c>
      <c r="H175" s="3">
        <f t="shared" si="41"/>
        <v>211123.87308225894</v>
      </c>
      <c r="I175" s="3">
        <f t="shared" si="42"/>
        <v>0.37725468735863443</v>
      </c>
      <c r="J175" s="4">
        <f t="shared" si="43"/>
        <v>11.379144460457326</v>
      </c>
      <c r="K175">
        <f t="shared" si="44"/>
        <v>1.6350000000000011</v>
      </c>
      <c r="L175">
        <f t="shared" si="45"/>
        <v>18.991850052559307</v>
      </c>
      <c r="M175">
        <f t="shared" si="46"/>
        <v>0.73563989880393976</v>
      </c>
      <c r="N175" s="3">
        <f t="shared" si="47"/>
        <v>413731.24707237084</v>
      </c>
      <c r="O175" s="3">
        <f t="shared" si="48"/>
        <v>-18.256210153755369</v>
      </c>
      <c r="P175" s="4">
        <f t="shared" si="49"/>
        <v>-1954.7562298654552</v>
      </c>
      <c r="Q175">
        <f t="shared" si="50"/>
        <v>1.6400000000000012</v>
      </c>
      <c r="R175">
        <f t="shared" si="51"/>
        <v>-38.821967182202108</v>
      </c>
      <c r="S175">
        <f t="shared" si="52"/>
        <v>0.70707625053767775</v>
      </c>
      <c r="T175" s="3">
        <f t="shared" si="53"/>
        <v>-890704.65612600709</v>
      </c>
      <c r="U175" s="3">
        <f t="shared" si="54"/>
        <v>39.529043432739783</v>
      </c>
      <c r="V175" s="4">
        <f t="shared" si="55"/>
        <v>-2892.9153331203815</v>
      </c>
      <c r="W175">
        <f t="shared" si="56"/>
        <v>0.41199682688858408</v>
      </c>
    </row>
    <row r="176" spans="1:23" x14ac:dyDescent="0.25">
      <c r="A176">
        <v>4.0250000000000004</v>
      </c>
      <c r="B176">
        <v>-0.15618785883918396</v>
      </c>
      <c r="E176">
        <f t="shared" si="38"/>
        <v>1.6400000000000012</v>
      </c>
      <c r="F176">
        <f t="shared" si="39"/>
        <v>0.41199682688858408</v>
      </c>
      <c r="G176" s="3">
        <f t="shared" si="40"/>
        <v>0.70707625053767775</v>
      </c>
      <c r="H176" s="3">
        <f t="shared" si="41"/>
        <v>211396.64544481668</v>
      </c>
      <c r="I176" s="3">
        <f t="shared" si="42"/>
        <v>0.29507942364909368</v>
      </c>
      <c r="J176" s="4">
        <f t="shared" si="43"/>
        <v>7.8614976131086394</v>
      </c>
      <c r="K176">
        <f t="shared" si="44"/>
        <v>1.6450000000000011</v>
      </c>
      <c r="L176">
        <f t="shared" si="45"/>
        <v>13.344160400452305</v>
      </c>
      <c r="M176">
        <f t="shared" si="46"/>
        <v>0.67851260227141696</v>
      </c>
      <c r="N176" s="3">
        <f t="shared" si="47"/>
        <v>352227.9067609256</v>
      </c>
      <c r="O176" s="3">
        <f t="shared" si="48"/>
        <v>-12.665647798180888</v>
      </c>
      <c r="P176" s="4">
        <f t="shared" si="49"/>
        <v>-1326.8210024833302</v>
      </c>
      <c r="Q176">
        <f t="shared" si="50"/>
        <v>1.6500000000000012</v>
      </c>
      <c r="R176">
        <f t="shared" si="51"/>
        <v>-26.203038198909105</v>
      </c>
      <c r="S176">
        <f t="shared" si="52"/>
        <v>0.64994895400515174</v>
      </c>
      <c r="T176" s="3">
        <f t="shared" si="53"/>
        <v>-485676.88501172257</v>
      </c>
      <c r="U176" s="3">
        <f t="shared" si="54"/>
        <v>26.852987152914256</v>
      </c>
      <c r="V176" s="4">
        <f t="shared" si="55"/>
        <v>-2970.547219026319</v>
      </c>
      <c r="W176">
        <f t="shared" si="56"/>
        <v>0.43070598851558317</v>
      </c>
    </row>
    <row r="177" spans="1:23" x14ac:dyDescent="0.25">
      <c r="A177">
        <v>4.05</v>
      </c>
      <c r="B177">
        <v>3.0151236698208822E-2</v>
      </c>
      <c r="E177">
        <f t="shared" si="38"/>
        <v>1.6500000000000012</v>
      </c>
      <c r="F177">
        <f t="shared" si="39"/>
        <v>0.43070598851558317</v>
      </c>
      <c r="G177" s="3">
        <f t="shared" si="40"/>
        <v>0.64994895400515174</v>
      </c>
      <c r="H177" s="3">
        <f t="shared" si="41"/>
        <v>211600.3882149347</v>
      </c>
      <c r="I177" s="3">
        <f t="shared" si="42"/>
        <v>0.21924296548956856</v>
      </c>
      <c r="J177" s="4">
        <f t="shared" si="43"/>
        <v>5.029988938175701</v>
      </c>
      <c r="K177">
        <f t="shared" si="44"/>
        <v>1.6550000000000011</v>
      </c>
      <c r="L177">
        <f t="shared" si="45"/>
        <v>8.7553376811963748</v>
      </c>
      <c r="M177">
        <f t="shared" si="46"/>
        <v>0.60953835705393533</v>
      </c>
      <c r="N177" s="3">
        <f t="shared" si="47"/>
        <v>302255.62734822853</v>
      </c>
      <c r="O177" s="3">
        <f t="shared" si="48"/>
        <v>-8.1457993241424393</v>
      </c>
      <c r="P177" s="4">
        <f t="shared" si="49"/>
        <v>-797.48248506796881</v>
      </c>
      <c r="Q177">
        <f t="shared" si="50"/>
        <v>1.6600000000000013</v>
      </c>
      <c r="R177">
        <f t="shared" si="51"/>
        <v>-15.569243602225551</v>
      </c>
      <c r="S177">
        <f t="shared" si="52"/>
        <v>0.56912776010271715</v>
      </c>
      <c r="T177" s="3">
        <f t="shared" si="53"/>
        <v>-144365.65886217001</v>
      </c>
      <c r="U177" s="3">
        <f t="shared" si="54"/>
        <v>16.138371362328268</v>
      </c>
      <c r="V177" s="4">
        <f t="shared" si="55"/>
        <v>-4656.0823037535629</v>
      </c>
      <c r="W177">
        <f t="shared" si="56"/>
        <v>0.44410143872640678</v>
      </c>
    </row>
    <row r="178" spans="1:23" x14ac:dyDescent="0.25">
      <c r="A178">
        <v>4.0750000000000002</v>
      </c>
      <c r="B178">
        <v>0.21226256798562729</v>
      </c>
      <c r="E178">
        <f t="shared" si="38"/>
        <v>1.6600000000000013</v>
      </c>
      <c r="F178">
        <f t="shared" si="39"/>
        <v>0.44410143872640678</v>
      </c>
      <c r="G178" s="3">
        <f t="shared" si="40"/>
        <v>0.56912776010271715</v>
      </c>
      <c r="H178" s="3">
        <f t="shared" si="41"/>
        <v>211746.26466773057</v>
      </c>
      <c r="I178" s="3">
        <f t="shared" si="42"/>
        <v>0.12502632137631037</v>
      </c>
      <c r="J178" s="4">
        <f t="shared" si="43"/>
        <v>2.1646187225206286</v>
      </c>
      <c r="K178">
        <f t="shared" si="44"/>
        <v>1.6650000000000011</v>
      </c>
      <c r="L178">
        <f t="shared" si="45"/>
        <v>4.0481916117232561</v>
      </c>
      <c r="M178">
        <f t="shared" si="46"/>
        <v>0.52871716315150086</v>
      </c>
      <c r="N178" s="3">
        <f t="shared" si="47"/>
        <v>250994.80665166627</v>
      </c>
      <c r="O178" s="3">
        <f t="shared" si="48"/>
        <v>-3.5194744485717555</v>
      </c>
      <c r="P178" s="4">
        <f t="shared" si="49"/>
        <v>-272.73883294678478</v>
      </c>
      <c r="Q178">
        <f t="shared" si="50"/>
        <v>1.6700000000000013</v>
      </c>
      <c r="R178">
        <f t="shared" si="51"/>
        <v>-5.0323214074344955</v>
      </c>
      <c r="S178">
        <f t="shared" si="52"/>
        <v>0.48830656620028268</v>
      </c>
      <c r="T178" s="3">
        <f t="shared" si="53"/>
        <v>152108.01987303834</v>
      </c>
      <c r="U178" s="3">
        <f t="shared" si="54"/>
        <v>5.5206279736347783</v>
      </c>
      <c r="V178" s="4">
        <f t="shared" si="55"/>
        <v>884.14928146892214</v>
      </c>
      <c r="W178">
        <f t="shared" si="56"/>
        <v>0.45204776196195162</v>
      </c>
    </row>
    <row r="179" spans="1:23" x14ac:dyDescent="0.25">
      <c r="A179">
        <v>4.0999999999999996</v>
      </c>
      <c r="B179">
        <v>0.37377689164653899</v>
      </c>
      <c r="E179">
        <f t="shared" si="38"/>
        <v>1.6700000000000013</v>
      </c>
      <c r="F179">
        <f t="shared" si="39"/>
        <v>0.45204776196195162</v>
      </c>
      <c r="G179" s="3">
        <f t="shared" si="40"/>
        <v>0.48830656620028268</v>
      </c>
      <c r="H179" s="3">
        <f t="shared" si="41"/>
        <v>211832.80012776566</v>
      </c>
      <c r="I179" s="3">
        <f t="shared" si="42"/>
        <v>3.6258804238331055E-2</v>
      </c>
      <c r="J179" s="4">
        <f t="shared" si="43"/>
        <v>0.33792630368315629</v>
      </c>
      <c r="K179">
        <f t="shared" si="44"/>
        <v>1.6750000000000012</v>
      </c>
      <c r="L179">
        <f t="shared" si="45"/>
        <v>1.0180743206312388</v>
      </c>
      <c r="M179">
        <f t="shared" si="46"/>
        <v>0.4478959692490645</v>
      </c>
      <c r="N179" s="3">
        <f t="shared" si="47"/>
        <v>217996.82935167418</v>
      </c>
      <c r="O179" s="3">
        <f t="shared" si="48"/>
        <v>-0.57017835138217432</v>
      </c>
      <c r="P179" s="4">
        <f t="shared" si="49"/>
        <v>-20.476743838423129</v>
      </c>
      <c r="Q179">
        <f t="shared" si="50"/>
        <v>1.6800000000000013</v>
      </c>
      <c r="R179">
        <f t="shared" si="51"/>
        <v>3.9133622156657499E-2</v>
      </c>
      <c r="S179">
        <f t="shared" si="52"/>
        <v>0.39943022541912299</v>
      </c>
      <c r="T179" s="3">
        <f t="shared" si="53"/>
        <v>207336.16514528601</v>
      </c>
      <c r="U179" s="3">
        <f t="shared" si="54"/>
        <v>0.36029660326246549</v>
      </c>
      <c r="V179" s="4">
        <f t="shared" si="55"/>
        <v>10.814592971667548</v>
      </c>
      <c r="W179">
        <f t="shared" si="56"/>
        <v>0.45626266263878251</v>
      </c>
    </row>
    <row r="180" spans="1:23" x14ac:dyDescent="0.25">
      <c r="A180">
        <v>4.125</v>
      </c>
      <c r="B180">
        <v>0.50032462060150495</v>
      </c>
      <c r="E180">
        <f t="shared" si="38"/>
        <v>1.6800000000000013</v>
      </c>
      <c r="F180">
        <f t="shared" si="39"/>
        <v>0.45626266263878251</v>
      </c>
      <c r="G180" s="3">
        <f t="shared" si="40"/>
        <v>0.39943022541912299</v>
      </c>
      <c r="H180" s="3">
        <f t="shared" si="41"/>
        <v>211878.70039613635</v>
      </c>
      <c r="I180" s="3">
        <f t="shared" si="42"/>
        <v>-5.6832437219659526E-2</v>
      </c>
      <c r="J180" s="4">
        <f t="shared" si="43"/>
        <v>-0.66298256779720544</v>
      </c>
      <c r="K180">
        <f t="shared" si="44"/>
        <v>1.6850000000000012</v>
      </c>
      <c r="L180">
        <f t="shared" si="45"/>
        <v>-0.6608629640995094</v>
      </c>
      <c r="M180">
        <f t="shared" si="46"/>
        <v>0.35096448158918359</v>
      </c>
      <c r="N180" s="3">
        <f t="shared" si="47"/>
        <v>199713.20232095633</v>
      </c>
      <c r="O180" s="3">
        <f t="shared" si="48"/>
        <v>1.0118274456886929</v>
      </c>
      <c r="P180" s="4">
        <f t="shared" si="49"/>
        <v>52.838185616618652</v>
      </c>
      <c r="Q180">
        <f t="shared" si="50"/>
        <v>1.6900000000000013</v>
      </c>
      <c r="R180">
        <f t="shared" si="51"/>
        <v>1.5196562006491274</v>
      </c>
      <c r="S180">
        <f t="shared" si="52"/>
        <v>0.30249873775924208</v>
      </c>
      <c r="T180" s="3">
        <f t="shared" si="53"/>
        <v>223459.056025069</v>
      </c>
      <c r="U180" s="3">
        <f t="shared" si="54"/>
        <v>-1.2171574628898854</v>
      </c>
      <c r="V180" s="4">
        <f t="shared" si="55"/>
        <v>-62.304179078198139</v>
      </c>
      <c r="W180">
        <f t="shared" si="56"/>
        <v>0.45800161946598045</v>
      </c>
    </row>
    <row r="181" spans="1:23" x14ac:dyDescent="0.25">
      <c r="A181">
        <v>4.1500000000000004</v>
      </c>
      <c r="B181">
        <v>0.58081072456130689</v>
      </c>
      <c r="E181">
        <f t="shared" ref="E181:E212" si="57">E180+$J$8</f>
        <v>1.6900000000000013</v>
      </c>
      <c r="F181">
        <f t="shared" ref="F181:F212" si="58">W180</f>
        <v>0.45800161946598045</v>
      </c>
      <c r="G181" s="3">
        <f t="shared" ref="G181:G212" si="59">LinInt(E181,$A$15:$A$415,$B$15:$B$415,TRUE)</f>
        <v>0.30249873775924208</v>
      </c>
      <c r="H181" s="3">
        <f t="shared" ref="H181:H212" si="60">LinInt(F181,$A$9:$A$11,$C$9:$C$11,TRUE)</f>
        <v>211897.63763598452</v>
      </c>
      <c r="I181" s="3">
        <f t="shared" ref="I181:I212" si="61">G181-F181</f>
        <v>-0.15550288170673837</v>
      </c>
      <c r="J181" s="4">
        <f t="shared" ref="J181:J212" si="62">(($B$2*$B$3*((ABS(I181))^1.5)*IF(I181&lt;=0,-1,1)+$B$4)*$K$3)/H181</f>
        <v>-3.0003818934332345</v>
      </c>
      <c r="K181">
        <f t="shared" ref="K181:K212" si="63">E181+$J$8/2</f>
        <v>1.6950000000000012</v>
      </c>
      <c r="L181">
        <f t="shared" ref="L181:L212" si="64">F181+J181*K181</f>
        <v>-4.627645689903356</v>
      </c>
      <c r="M181">
        <f t="shared" ref="M181:M212" si="65">LinInt(K181,$A$15:$A$415,$B$15:$B$415,TRUE)</f>
        <v>0.25403299392930273</v>
      </c>
      <c r="N181" s="3">
        <f t="shared" ref="N181:N212" si="66">LinInt(L181,$A$9:$A$11,$C$9:$C$11,TRUE)</f>
        <v>156514.93843695245</v>
      </c>
      <c r="O181" s="3">
        <f t="shared" ref="O181:O212" si="67">M181-L181</f>
        <v>4.8816786838326589</v>
      </c>
      <c r="P181" s="4">
        <f t="shared" ref="P181:P212" si="68">(($B$2*$B$3*((ABS(O181))^1.5)*IF(O181&lt;=0,-1,1)+$B$4)*$K$3)/N181</f>
        <v>714.48477593828432</v>
      </c>
      <c r="Q181">
        <f t="shared" ref="Q181:Q212" si="69">E181+$J$8</f>
        <v>1.7000000000000013</v>
      </c>
      <c r="R181">
        <f t="shared" ref="R181:R212" si="70">F181-J181*$J$8+2*P181*$J$8</f>
        <v>14.777700957165999</v>
      </c>
      <c r="S181">
        <f t="shared" ref="S181:S212" si="71">LinInt(Q181,$A$15:$A$415,$B$15:$B$415,TRUE)</f>
        <v>0.20556725009936025</v>
      </c>
      <c r="T181" s="3">
        <f t="shared" ref="T181:T212" si="72">LinInt(R181,$A$9:$A$11,$C$9:$C$11,TRUE)</f>
        <v>367839.16342353774</v>
      </c>
      <c r="U181" s="3">
        <f t="shared" ref="U181:U212" si="73">S181-R181</f>
        <v>-14.572133707066639</v>
      </c>
      <c r="V181" s="4">
        <f t="shared" ref="V181:V212" si="74">(($B$2*$B$3*((ABS(U181))^1.5)*IF(U181&lt;=0,-1,1)+$B$4)*$K$3)/T181</f>
        <v>-1567.9122149091347</v>
      </c>
      <c r="W181">
        <f t="shared" ref="W181:W212" si="75">F181+(1/6)*(J181+4*M181+S181)*$J$8</f>
        <v>0.45503714835328601</v>
      </c>
    </row>
    <row r="182" spans="1:23" x14ac:dyDescent="0.25">
      <c r="A182">
        <v>4.1749999999999998</v>
      </c>
      <c r="B182">
        <v>0.60838264397156372</v>
      </c>
      <c r="E182">
        <f t="shared" si="57"/>
        <v>1.7000000000000013</v>
      </c>
      <c r="F182">
        <f t="shared" si="58"/>
        <v>0.45503714835328601</v>
      </c>
      <c r="G182" s="3">
        <f t="shared" si="59"/>
        <v>0.20556725009936025</v>
      </c>
      <c r="H182" s="3">
        <f t="shared" si="60"/>
        <v>211865.35454556727</v>
      </c>
      <c r="I182" s="3">
        <f t="shared" si="61"/>
        <v>-0.24946989825392576</v>
      </c>
      <c r="J182" s="4">
        <f t="shared" si="62"/>
        <v>-6.0976468638936439</v>
      </c>
      <c r="K182">
        <f t="shared" si="63"/>
        <v>1.7050000000000012</v>
      </c>
      <c r="L182">
        <f t="shared" si="64"/>
        <v>-9.9414507545853841</v>
      </c>
      <c r="M182">
        <f t="shared" si="65"/>
        <v>0.15356142855454924</v>
      </c>
      <c r="N182" s="3">
        <f t="shared" si="66"/>
        <v>36268.719569665758</v>
      </c>
      <c r="O182" s="3">
        <f t="shared" si="67"/>
        <v>10.095012183139934</v>
      </c>
      <c r="P182" s="4">
        <f t="shared" si="68"/>
        <v>9169.0224505875613</v>
      </c>
      <c r="Q182">
        <f t="shared" si="69"/>
        <v>1.7100000000000013</v>
      </c>
      <c r="R182">
        <f t="shared" si="70"/>
        <v>183.89646262874345</v>
      </c>
      <c r="S182">
        <f t="shared" si="71"/>
        <v>0.10155560700973593</v>
      </c>
      <c r="T182" s="3">
        <f t="shared" si="72"/>
        <v>2209542.4780270164</v>
      </c>
      <c r="U182" s="3">
        <f t="shared" si="73"/>
        <v>-183.79490702173371</v>
      </c>
      <c r="V182" s="4">
        <f t="shared" si="74"/>
        <v>-11692.108655223121</v>
      </c>
      <c r="W182">
        <f t="shared" si="75"/>
        <v>0.44606740578217652</v>
      </c>
    </row>
    <row r="183" spans="1:23" x14ac:dyDescent="0.25">
      <c r="A183">
        <v>4.2</v>
      </c>
      <c r="B183">
        <v>0.58100727195769153</v>
      </c>
      <c r="E183">
        <f t="shared" si="57"/>
        <v>1.7100000000000013</v>
      </c>
      <c r="F183">
        <f t="shared" si="58"/>
        <v>0.44606740578217652</v>
      </c>
      <c r="G183" s="3">
        <f t="shared" si="59"/>
        <v>0.10155560700973593</v>
      </c>
      <c r="H183" s="3">
        <f t="shared" si="60"/>
        <v>211767.67404896789</v>
      </c>
      <c r="I183" s="3">
        <f t="shared" si="61"/>
        <v>-0.34451179877244059</v>
      </c>
      <c r="J183" s="4">
        <f t="shared" si="62"/>
        <v>-9.9001431016925849</v>
      </c>
      <c r="K183">
        <f t="shared" si="63"/>
        <v>1.7150000000000012</v>
      </c>
      <c r="L183">
        <f t="shared" si="64"/>
        <v>-16.532678013620618</v>
      </c>
      <c r="M183">
        <f t="shared" si="65"/>
        <v>4.9549785464924931E-2</v>
      </c>
      <c r="N183" s="3">
        <f t="shared" si="66"/>
        <v>-175288.86104349463</v>
      </c>
      <c r="O183" s="3">
        <f t="shared" si="67"/>
        <v>16.582227799085544</v>
      </c>
      <c r="P183" s="4">
        <f t="shared" si="68"/>
        <v>-3993.9717144211354</v>
      </c>
      <c r="Q183">
        <f t="shared" si="69"/>
        <v>1.7200000000000013</v>
      </c>
      <c r="R183">
        <f t="shared" si="70"/>
        <v>-79.334365451623611</v>
      </c>
      <c r="S183">
        <f t="shared" si="71"/>
        <v>-2.4560360798883789E-3</v>
      </c>
      <c r="T183" s="3">
        <f t="shared" si="72"/>
        <v>-2191024.7066851654</v>
      </c>
      <c r="U183" s="3">
        <f t="shared" si="73"/>
        <v>79.33190941554372</v>
      </c>
      <c r="V183" s="4">
        <f t="shared" si="74"/>
        <v>-3343.6404820157691</v>
      </c>
      <c r="W183">
        <f t="shared" si="75"/>
        <v>0.42989340578898855</v>
      </c>
    </row>
    <row r="184" spans="1:23" x14ac:dyDescent="0.25">
      <c r="A184">
        <v>4.2249999999999996</v>
      </c>
      <c r="B184">
        <v>0.50160909985613145</v>
      </c>
      <c r="E184">
        <f t="shared" si="57"/>
        <v>1.7200000000000013</v>
      </c>
      <c r="F184">
        <f t="shared" si="58"/>
        <v>0.42989340578898855</v>
      </c>
      <c r="G184" s="3">
        <f t="shared" si="59"/>
        <v>-2.4560360798883789E-3</v>
      </c>
      <c r="H184" s="3">
        <f t="shared" si="60"/>
        <v>211591.53918904209</v>
      </c>
      <c r="I184" s="3">
        <f t="shared" si="61"/>
        <v>-0.43234944186887692</v>
      </c>
      <c r="J184" s="4">
        <f t="shared" si="62"/>
        <v>-13.929933551178808</v>
      </c>
      <c r="K184">
        <f t="shared" si="63"/>
        <v>1.7250000000000012</v>
      </c>
      <c r="L184">
        <f t="shared" si="64"/>
        <v>-23.599241969994473</v>
      </c>
      <c r="M184">
        <f t="shared" si="65"/>
        <v>-5.4461857624699093E-2</v>
      </c>
      <c r="N184" s="3">
        <f t="shared" si="66"/>
        <v>-402103.24857796996</v>
      </c>
      <c r="O184" s="3">
        <f t="shared" si="67"/>
        <v>23.544780112369775</v>
      </c>
      <c r="P184" s="4">
        <f t="shared" si="68"/>
        <v>-2945.7735956112106</v>
      </c>
      <c r="Q184">
        <f t="shared" si="69"/>
        <v>1.7300000000000013</v>
      </c>
      <c r="R184">
        <f t="shared" si="70"/>
        <v>-58.346279170923438</v>
      </c>
      <c r="S184">
        <f t="shared" si="71"/>
        <v>-0.10519044307068785</v>
      </c>
      <c r="T184" s="3">
        <f t="shared" si="72"/>
        <v>-1517373.415241892</v>
      </c>
      <c r="U184" s="3">
        <f t="shared" si="73"/>
        <v>58.241088727852748</v>
      </c>
      <c r="V184" s="4">
        <f t="shared" si="74"/>
        <v>-3037.0136575149254</v>
      </c>
      <c r="W184">
        <f t="shared" si="75"/>
        <v>0.40613845341440807</v>
      </c>
    </row>
    <row r="185" spans="1:23" x14ac:dyDescent="0.25">
      <c r="A185">
        <v>4.25</v>
      </c>
      <c r="B185">
        <v>0.37776156828999846</v>
      </c>
      <c r="E185">
        <f t="shared" si="57"/>
        <v>1.7300000000000013</v>
      </c>
      <c r="F185">
        <f t="shared" si="58"/>
        <v>0.40613845341440807</v>
      </c>
      <c r="G185" s="3">
        <f t="shared" si="59"/>
        <v>-0.10519044307068785</v>
      </c>
      <c r="H185" s="3">
        <f t="shared" si="60"/>
        <v>211332.8477576829</v>
      </c>
      <c r="I185" s="3">
        <f t="shared" si="61"/>
        <v>-0.51132889648509594</v>
      </c>
      <c r="J185" s="4">
        <f t="shared" si="62"/>
        <v>-17.938184558559239</v>
      </c>
      <c r="K185">
        <f t="shared" si="63"/>
        <v>1.7350000000000012</v>
      </c>
      <c r="L185">
        <f t="shared" si="64"/>
        <v>-30.716611755685896</v>
      </c>
      <c r="M185">
        <f t="shared" si="65"/>
        <v>-0.15591902851667436</v>
      </c>
      <c r="N185" s="3">
        <f t="shared" si="66"/>
        <v>-630548.34279407829</v>
      </c>
      <c r="O185" s="3">
        <f t="shared" si="67"/>
        <v>30.560692727169222</v>
      </c>
      <c r="P185" s="4">
        <f t="shared" si="68"/>
        <v>-2777.9305975189673</v>
      </c>
      <c r="Q185">
        <f t="shared" si="69"/>
        <v>1.7400000000000013</v>
      </c>
      <c r="R185">
        <f t="shared" si="70"/>
        <v>-54.973091651379342</v>
      </c>
      <c r="S185">
        <f t="shared" si="71"/>
        <v>-0.20664761396266312</v>
      </c>
      <c r="T185" s="3">
        <f t="shared" si="72"/>
        <v>-1409104.7480356409</v>
      </c>
      <c r="U185" s="3">
        <f t="shared" si="73"/>
        <v>54.766444037416676</v>
      </c>
      <c r="V185" s="4">
        <f t="shared" si="74"/>
        <v>-2982.1090805581184</v>
      </c>
      <c r="W185">
        <f t="shared" si="75"/>
        <v>0.37485760627009374</v>
      </c>
    </row>
    <row r="186" spans="1:23" x14ac:dyDescent="0.25">
      <c r="A186">
        <v>4.2750000000000004</v>
      </c>
      <c r="B186">
        <v>0.22096388239645071</v>
      </c>
      <c r="E186">
        <f t="shared" si="57"/>
        <v>1.7400000000000013</v>
      </c>
      <c r="F186">
        <f t="shared" si="58"/>
        <v>0.37485760627009374</v>
      </c>
      <c r="G186" s="3">
        <f t="shared" si="59"/>
        <v>-0.20664761396266312</v>
      </c>
      <c r="H186" s="3">
        <f t="shared" si="60"/>
        <v>210992.19933228131</v>
      </c>
      <c r="I186" s="3">
        <f t="shared" si="61"/>
        <v>-0.58150522023275686</v>
      </c>
      <c r="J186" s="4">
        <f t="shared" si="62"/>
        <v>-21.790089600950971</v>
      </c>
      <c r="K186">
        <f t="shared" si="63"/>
        <v>1.7450000000000012</v>
      </c>
      <c r="L186">
        <f t="shared" si="64"/>
        <v>-37.64884874738938</v>
      </c>
      <c r="M186">
        <f t="shared" si="65"/>
        <v>-0.25737619940864964</v>
      </c>
      <c r="N186" s="3">
        <f t="shared" si="66"/>
        <v>-853051.25895304943</v>
      </c>
      <c r="O186" s="3">
        <f t="shared" si="67"/>
        <v>37.391472547980733</v>
      </c>
      <c r="P186" s="4">
        <f t="shared" si="68"/>
        <v>-2778.9370789580162</v>
      </c>
      <c r="Q186">
        <f t="shared" si="69"/>
        <v>1.7500000000000013</v>
      </c>
      <c r="R186">
        <f t="shared" si="70"/>
        <v>-54.985983076880721</v>
      </c>
      <c r="S186">
        <f t="shared" si="71"/>
        <v>-0.30810478485463683</v>
      </c>
      <c r="T186" s="3">
        <f t="shared" si="72"/>
        <v>-1409518.5220844704</v>
      </c>
      <c r="U186" s="3">
        <f t="shared" si="73"/>
        <v>54.677878292026087</v>
      </c>
      <c r="V186" s="4">
        <f t="shared" si="74"/>
        <v>-2974.0049174167261</v>
      </c>
      <c r="W186">
        <f t="shared" si="75"/>
        <v>0.33631144096436005</v>
      </c>
    </row>
    <row r="187" spans="1:23" x14ac:dyDescent="0.25">
      <c r="A187">
        <v>4.3</v>
      </c>
      <c r="B187">
        <v>4.5572421730597973E-2</v>
      </c>
      <c r="E187">
        <f t="shared" si="57"/>
        <v>1.7500000000000013</v>
      </c>
      <c r="F187">
        <f t="shared" si="58"/>
        <v>0.33631144096436005</v>
      </c>
      <c r="G187" s="3">
        <f t="shared" si="59"/>
        <v>-0.30810478485463683</v>
      </c>
      <c r="H187" s="3">
        <f t="shared" si="60"/>
        <v>210572.43159210187</v>
      </c>
      <c r="I187" s="3">
        <f t="shared" si="61"/>
        <v>-0.64441622581899694</v>
      </c>
      <c r="J187" s="4">
        <f t="shared" si="62"/>
        <v>-25.470834670501752</v>
      </c>
      <c r="K187">
        <f t="shared" si="63"/>
        <v>1.7550000000000012</v>
      </c>
      <c r="L187">
        <f t="shared" si="64"/>
        <v>-44.365003405766245</v>
      </c>
      <c r="M187">
        <f t="shared" si="65"/>
        <v>-0.35288313595982407</v>
      </c>
      <c r="N187" s="3">
        <f t="shared" si="66"/>
        <v>-1068618.6145774992</v>
      </c>
      <c r="O187" s="3">
        <f t="shared" si="67"/>
        <v>44.012120269806424</v>
      </c>
      <c r="P187" s="4">
        <f t="shared" si="68"/>
        <v>-2832.8963843284328</v>
      </c>
      <c r="Q187">
        <f t="shared" si="69"/>
        <v>1.7600000000000013</v>
      </c>
      <c r="R187">
        <f t="shared" si="70"/>
        <v>-56.066907898899281</v>
      </c>
      <c r="S187">
        <f t="shared" si="71"/>
        <v>-0.39766148706501331</v>
      </c>
      <c r="T187" s="3">
        <f t="shared" si="72"/>
        <v>-1444212.79542446</v>
      </c>
      <c r="U187" s="3">
        <f t="shared" si="73"/>
        <v>55.669246411834266</v>
      </c>
      <c r="V187" s="4">
        <f t="shared" si="74"/>
        <v>-2981.8570091420556</v>
      </c>
      <c r="W187">
        <f t="shared" si="75"/>
        <v>0.29084472646201665</v>
      </c>
    </row>
    <row r="188" spans="1:23" x14ac:dyDescent="0.25">
      <c r="A188">
        <v>4.3250000000000002</v>
      </c>
      <c r="B188">
        <v>-0.13251386794804565</v>
      </c>
      <c r="E188">
        <f t="shared" si="57"/>
        <v>1.7600000000000013</v>
      </c>
      <c r="F188">
        <f t="shared" si="58"/>
        <v>0.29084472646201665</v>
      </c>
      <c r="G188" s="3">
        <f t="shared" si="59"/>
        <v>-0.39766148706501331</v>
      </c>
      <c r="H188" s="3">
        <f t="shared" si="60"/>
        <v>210077.29907117135</v>
      </c>
      <c r="I188" s="3">
        <f t="shared" si="61"/>
        <v>-0.6885062135270299</v>
      </c>
      <c r="J188" s="4">
        <f t="shared" si="62"/>
        <v>-28.195360992590658</v>
      </c>
      <c r="K188">
        <f t="shared" si="63"/>
        <v>1.7650000000000012</v>
      </c>
      <c r="L188">
        <f t="shared" si="64"/>
        <v>-49.473967425460529</v>
      </c>
      <c r="M188">
        <f t="shared" si="65"/>
        <v>-0.44243983817020055</v>
      </c>
      <c r="N188" s="3">
        <f t="shared" si="66"/>
        <v>-1232600.2260390974</v>
      </c>
      <c r="O188" s="3">
        <f t="shared" si="67"/>
        <v>49.031527587290327</v>
      </c>
      <c r="P188" s="4">
        <f t="shared" si="68"/>
        <v>-2887.9248081368037</v>
      </c>
      <c r="Q188">
        <f t="shared" si="69"/>
        <v>1.7700000000000014</v>
      </c>
      <c r="R188">
        <f t="shared" si="70"/>
        <v>-57.185697826348147</v>
      </c>
      <c r="S188">
        <f t="shared" si="71"/>
        <v>-0.48721818927538979</v>
      </c>
      <c r="T188" s="3">
        <f t="shared" si="72"/>
        <v>-1480122.4190747449</v>
      </c>
      <c r="U188" s="3">
        <f t="shared" si="73"/>
        <v>56.698479637072758</v>
      </c>
      <c r="V188" s="4">
        <f t="shared" si="74"/>
        <v>-2990.5734401019831</v>
      </c>
      <c r="W188">
        <f t="shared" si="75"/>
        <v>0.24009082890443856</v>
      </c>
    </row>
    <row r="189" spans="1:23" x14ac:dyDescent="0.25">
      <c r="A189">
        <v>4.3499999999999996</v>
      </c>
      <c r="B189">
        <v>-0.29729370918669173</v>
      </c>
      <c r="E189">
        <f t="shared" si="57"/>
        <v>1.7700000000000014</v>
      </c>
      <c r="F189">
        <f t="shared" si="58"/>
        <v>0.24009082890443856</v>
      </c>
      <c r="G189" s="3">
        <f t="shared" si="59"/>
        <v>-0.48721818927538979</v>
      </c>
      <c r="H189" s="3">
        <f t="shared" si="60"/>
        <v>209524.58912676934</v>
      </c>
      <c r="I189" s="3">
        <f t="shared" si="61"/>
        <v>-0.72730901817982829</v>
      </c>
      <c r="J189" s="4">
        <f t="shared" si="62"/>
        <v>-30.692937124517048</v>
      </c>
      <c r="K189">
        <f t="shared" si="63"/>
        <v>1.7750000000000012</v>
      </c>
      <c r="L189">
        <f t="shared" si="64"/>
        <v>-54.239872567113366</v>
      </c>
      <c r="M189">
        <f t="shared" si="65"/>
        <v>-0.53199654038057431</v>
      </c>
      <c r="N189" s="3">
        <f t="shared" si="66"/>
        <v>-1385570.7308593902</v>
      </c>
      <c r="O189" s="3">
        <f t="shared" si="67"/>
        <v>53.707876026732791</v>
      </c>
      <c r="P189" s="4">
        <f t="shared" si="68"/>
        <v>-2945.2573913210804</v>
      </c>
      <c r="Q189">
        <f t="shared" si="69"/>
        <v>1.7800000000000014</v>
      </c>
      <c r="R189">
        <f t="shared" si="70"/>
        <v>-58.358127626272001</v>
      </c>
      <c r="S189">
        <f t="shared" si="71"/>
        <v>-0.56672664453356325</v>
      </c>
      <c r="T189" s="3">
        <f t="shared" si="72"/>
        <v>-1517753.7132424063</v>
      </c>
      <c r="U189" s="3">
        <f t="shared" si="73"/>
        <v>57.791400981738441</v>
      </c>
      <c r="V189" s="4">
        <f t="shared" si="74"/>
        <v>-3001.1556407053872</v>
      </c>
      <c r="W189">
        <f t="shared" si="75"/>
        <v>0.18444474568681704</v>
      </c>
    </row>
    <row r="190" spans="1:23" x14ac:dyDescent="0.25">
      <c r="A190">
        <v>4.375</v>
      </c>
      <c r="B190">
        <v>-0.43409898403124864</v>
      </c>
      <c r="E190">
        <f t="shared" si="57"/>
        <v>1.7800000000000014</v>
      </c>
      <c r="F190">
        <f t="shared" si="58"/>
        <v>0.18444474568681704</v>
      </c>
      <c r="G190" s="3">
        <f t="shared" si="59"/>
        <v>-0.56672664453356325</v>
      </c>
      <c r="H190" s="3">
        <f t="shared" si="60"/>
        <v>208918.60328052944</v>
      </c>
      <c r="I190" s="3">
        <f t="shared" si="61"/>
        <v>-0.75117139022038026</v>
      </c>
      <c r="J190" s="4">
        <f t="shared" si="62"/>
        <v>-32.309216968980152</v>
      </c>
      <c r="K190">
        <f t="shared" si="63"/>
        <v>1.7850000000000013</v>
      </c>
      <c r="L190">
        <f t="shared" si="64"/>
        <v>-57.487507543942797</v>
      </c>
      <c r="M190">
        <f t="shared" si="65"/>
        <v>-0.60145674868655052</v>
      </c>
      <c r="N190" s="3">
        <f t="shared" si="66"/>
        <v>-1489809.5579262145</v>
      </c>
      <c r="O190" s="3">
        <f t="shared" si="67"/>
        <v>56.886050795256246</v>
      </c>
      <c r="P190" s="4">
        <f t="shared" si="68"/>
        <v>-2985.8838478620651</v>
      </c>
      <c r="Q190">
        <f t="shared" si="69"/>
        <v>1.7900000000000014</v>
      </c>
      <c r="R190">
        <f t="shared" si="70"/>
        <v>-59.210140041864683</v>
      </c>
      <c r="S190">
        <f t="shared" si="71"/>
        <v>-0.63618685283953946</v>
      </c>
      <c r="T190" s="3">
        <f t="shared" si="72"/>
        <v>-1545100.6212174085</v>
      </c>
      <c r="U190" s="3">
        <f t="shared" si="73"/>
        <v>58.573953189025147</v>
      </c>
      <c r="V190" s="4">
        <f t="shared" si="74"/>
        <v>-3008.1190852319651</v>
      </c>
      <c r="W190">
        <f t="shared" si="75"/>
        <v>0.12552602765920723</v>
      </c>
    </row>
    <row r="191" spans="1:23" x14ac:dyDescent="0.25">
      <c r="A191">
        <v>4.4000000000000004</v>
      </c>
      <c r="B191">
        <v>-0.53089692596129079</v>
      </c>
      <c r="E191">
        <f t="shared" si="57"/>
        <v>1.7900000000000014</v>
      </c>
      <c r="F191">
        <f t="shared" si="58"/>
        <v>0.12552602765920723</v>
      </c>
      <c r="G191" s="3">
        <f t="shared" si="59"/>
        <v>-0.63618685283953946</v>
      </c>
      <c r="H191" s="3">
        <f t="shared" si="60"/>
        <v>208276.97844120878</v>
      </c>
      <c r="I191" s="3">
        <f t="shared" si="61"/>
        <v>-0.76171288049874675</v>
      </c>
      <c r="J191" s="4">
        <f t="shared" si="62"/>
        <v>-33.09334518239227</v>
      </c>
      <c r="K191">
        <f t="shared" si="63"/>
        <v>1.7950000000000013</v>
      </c>
      <c r="L191">
        <f t="shared" si="64"/>
        <v>-59.277028574734963</v>
      </c>
      <c r="M191">
        <f t="shared" si="65"/>
        <v>-0.67091695699252674</v>
      </c>
      <c r="N191" s="3">
        <f t="shared" si="66"/>
        <v>-1547247.5318955984</v>
      </c>
      <c r="O191" s="3">
        <f t="shared" si="67"/>
        <v>58.606111617742435</v>
      </c>
      <c r="P191" s="4">
        <f t="shared" si="68"/>
        <v>-3006.4193069057574</v>
      </c>
      <c r="Q191">
        <f t="shared" si="69"/>
        <v>1.8000000000000014</v>
      </c>
      <c r="R191">
        <f t="shared" si="70"/>
        <v>-59.671926658632017</v>
      </c>
      <c r="S191">
        <f t="shared" si="71"/>
        <v>-0.70564706114551212</v>
      </c>
      <c r="T191" s="3">
        <f t="shared" si="72"/>
        <v>-1559922.5133421132</v>
      </c>
      <c r="U191" s="3">
        <f t="shared" si="73"/>
        <v>58.966279597486505</v>
      </c>
      <c r="V191" s="4">
        <f t="shared" si="74"/>
        <v>-3009.5222160250341</v>
      </c>
      <c r="W191">
        <f t="shared" si="75"/>
        <v>6.4721594206694086E-2</v>
      </c>
    </row>
    <row r="192" spans="1:23" x14ac:dyDescent="0.25">
      <c r="A192">
        <v>4.4249999999999998</v>
      </c>
      <c r="B192">
        <v>-0.57934376089346851</v>
      </c>
      <c r="E192">
        <f t="shared" si="57"/>
        <v>1.8000000000000014</v>
      </c>
      <c r="F192">
        <f t="shared" si="58"/>
        <v>6.4721594206694086E-2</v>
      </c>
      <c r="G192" s="3">
        <f t="shared" si="59"/>
        <v>-0.70564706114551212</v>
      </c>
      <c r="H192" s="3">
        <f t="shared" si="60"/>
        <v>207614.81816091089</v>
      </c>
      <c r="I192" s="3">
        <f t="shared" si="61"/>
        <v>-0.77036865535220622</v>
      </c>
      <c r="J192" s="4">
        <f t="shared" si="62"/>
        <v>-33.766383384063992</v>
      </c>
      <c r="K192">
        <f t="shared" si="63"/>
        <v>1.8050000000000013</v>
      </c>
      <c r="L192">
        <f t="shared" si="64"/>
        <v>-60.883600414028855</v>
      </c>
      <c r="M192">
        <f t="shared" si="65"/>
        <v>-0.72718096024714018</v>
      </c>
      <c r="N192" s="3">
        <f t="shared" si="66"/>
        <v>-1598813.4145521766</v>
      </c>
      <c r="O192" s="3">
        <f t="shared" si="67"/>
        <v>60.156419453781716</v>
      </c>
      <c r="P192" s="4">
        <f t="shared" si="68"/>
        <v>-3025.660345335506</v>
      </c>
      <c r="Q192">
        <f t="shared" si="69"/>
        <v>1.8100000000000014</v>
      </c>
      <c r="R192">
        <f t="shared" si="70"/>
        <v>-60.110821478662793</v>
      </c>
      <c r="S192">
        <f t="shared" si="71"/>
        <v>-0.74871485934876925</v>
      </c>
      <c r="T192" s="3">
        <f t="shared" si="72"/>
        <v>-1574009.6510814589</v>
      </c>
      <c r="U192" s="3">
        <f t="shared" si="73"/>
        <v>59.362106619314027</v>
      </c>
      <c r="V192" s="4">
        <f t="shared" si="74"/>
        <v>-3012.6699426887244</v>
      </c>
      <c r="W192">
        <f t="shared" si="75"/>
        <v>2.3485573993585473E-3</v>
      </c>
    </row>
    <row r="193" spans="1:23" x14ac:dyDescent="0.25">
      <c r="A193">
        <v>4.45</v>
      </c>
      <c r="B193">
        <v>-0.57549801470640205</v>
      </c>
      <c r="E193">
        <f t="shared" si="57"/>
        <v>1.8100000000000014</v>
      </c>
      <c r="F193">
        <f t="shared" si="58"/>
        <v>2.3485573993585473E-3</v>
      </c>
      <c r="G193" s="3">
        <f t="shared" si="59"/>
        <v>-0.74871485934876925</v>
      </c>
      <c r="H193" s="3">
        <f t="shared" si="60"/>
        <v>206935.57579007902</v>
      </c>
      <c r="I193" s="3">
        <f t="shared" si="61"/>
        <v>-0.75106341674812782</v>
      </c>
      <c r="J193" s="4">
        <f t="shared" si="62"/>
        <v>-32.611797854173041</v>
      </c>
      <c r="K193">
        <f t="shared" si="63"/>
        <v>1.8150000000000013</v>
      </c>
      <c r="L193">
        <f t="shared" si="64"/>
        <v>-59.188064547924753</v>
      </c>
      <c r="M193">
        <f t="shared" si="65"/>
        <v>-0.77024875845039742</v>
      </c>
      <c r="N193" s="3">
        <f t="shared" si="66"/>
        <v>-1544392.0675740228</v>
      </c>
      <c r="O193" s="3">
        <f t="shared" si="67"/>
        <v>58.417815789474353</v>
      </c>
      <c r="P193" s="4">
        <f t="shared" si="68"/>
        <v>-2997.4738195412724</v>
      </c>
      <c r="Q193">
        <f t="shared" si="69"/>
        <v>1.8200000000000014</v>
      </c>
      <c r="R193">
        <f t="shared" si="70"/>
        <v>-59.621009854884363</v>
      </c>
      <c r="S193">
        <f t="shared" si="71"/>
        <v>-0.79178265755202648</v>
      </c>
      <c r="T193" s="3">
        <f t="shared" si="72"/>
        <v>-1558288.2447317201</v>
      </c>
      <c r="U193" s="3">
        <f t="shared" si="73"/>
        <v>58.829227197332337</v>
      </c>
      <c r="V193" s="4">
        <f t="shared" si="74"/>
        <v>-3002.1812557521612</v>
      </c>
      <c r="W193">
        <f t="shared" si="75"/>
        <v>-5.8459068509852545E-2</v>
      </c>
    </row>
    <row r="194" spans="1:23" x14ac:dyDescent="0.25">
      <c r="A194">
        <v>4.4749999999999996</v>
      </c>
      <c r="B194">
        <v>-0.52013312010302681</v>
      </c>
      <c r="E194">
        <f t="shared" si="57"/>
        <v>1.8200000000000014</v>
      </c>
      <c r="F194">
        <f t="shared" si="58"/>
        <v>-5.8459068509852545E-2</v>
      </c>
      <c r="G194" s="3">
        <f t="shared" si="59"/>
        <v>-0.79178265755202648</v>
      </c>
      <c r="H194" s="3">
        <f t="shared" si="60"/>
        <v>206273.3807439277</v>
      </c>
      <c r="I194" s="3">
        <f t="shared" si="61"/>
        <v>-0.73332358904217398</v>
      </c>
      <c r="J194" s="4">
        <f t="shared" si="62"/>
        <v>-31.564236221689193</v>
      </c>
      <c r="K194">
        <f t="shared" si="63"/>
        <v>1.8250000000000013</v>
      </c>
      <c r="L194">
        <f t="shared" si="64"/>
        <v>-57.663190173092673</v>
      </c>
      <c r="M194">
        <f t="shared" si="65"/>
        <v>-0.81331655665365055</v>
      </c>
      <c r="N194" s="3">
        <f t="shared" si="66"/>
        <v>-1495448.4155346756</v>
      </c>
      <c r="O194" s="3">
        <f t="shared" si="67"/>
        <v>56.849873616439019</v>
      </c>
      <c r="P194" s="4">
        <f t="shared" si="68"/>
        <v>-2971.7878782015155</v>
      </c>
      <c r="Q194">
        <f t="shared" si="69"/>
        <v>1.8300000000000014</v>
      </c>
      <c r="R194">
        <f t="shared" si="70"/>
        <v>-59.178574270323274</v>
      </c>
      <c r="S194">
        <f t="shared" si="71"/>
        <v>-0.81974148405113634</v>
      </c>
      <c r="T194" s="3">
        <f t="shared" si="72"/>
        <v>-1544087.4596323129</v>
      </c>
      <c r="U194" s="3">
        <f t="shared" si="73"/>
        <v>58.358832786272139</v>
      </c>
      <c r="V194" s="4">
        <f t="shared" si="74"/>
        <v>-2993.5256820520253</v>
      </c>
      <c r="W194">
        <f t="shared" si="75"/>
        <v>-0.11785447506377743</v>
      </c>
    </row>
    <row r="195" spans="1:23" x14ac:dyDescent="0.25">
      <c r="A195">
        <v>4.5</v>
      </c>
      <c r="B195">
        <v>-0.41862541566010869</v>
      </c>
      <c r="E195">
        <f t="shared" si="57"/>
        <v>1.8300000000000014</v>
      </c>
      <c r="F195">
        <f t="shared" si="58"/>
        <v>-0.11785447506377743</v>
      </c>
      <c r="G195" s="3">
        <f t="shared" si="59"/>
        <v>-0.81974148405113634</v>
      </c>
      <c r="H195" s="3">
        <f t="shared" si="60"/>
        <v>205626.56476655547</v>
      </c>
      <c r="I195" s="3">
        <f t="shared" si="61"/>
        <v>-0.7018870089873589</v>
      </c>
      <c r="J195" s="4">
        <f t="shared" si="62"/>
        <v>-29.649445437407206</v>
      </c>
      <c r="K195">
        <f t="shared" si="63"/>
        <v>1.8350000000000013</v>
      </c>
      <c r="L195">
        <f t="shared" si="64"/>
        <v>-54.524586852706044</v>
      </c>
      <c r="M195">
        <f t="shared" si="65"/>
        <v>-0.8261664114486218</v>
      </c>
      <c r="N195" s="3">
        <f t="shared" si="66"/>
        <v>-1394709.1603291712</v>
      </c>
      <c r="O195" s="3">
        <f t="shared" si="67"/>
        <v>53.698420441257419</v>
      </c>
      <c r="P195" s="4">
        <f t="shared" si="68"/>
        <v>-2925.1867774420534</v>
      </c>
      <c r="Q195">
        <f t="shared" si="69"/>
        <v>1.8400000000000014</v>
      </c>
      <c r="R195">
        <f t="shared" si="70"/>
        <v>-58.325095569530774</v>
      </c>
      <c r="S195">
        <f t="shared" si="71"/>
        <v>-0.83259133884610748</v>
      </c>
      <c r="T195" s="3">
        <f t="shared" si="72"/>
        <v>-1516693.4885327709</v>
      </c>
      <c r="U195" s="3">
        <f t="shared" si="73"/>
        <v>57.492504230684666</v>
      </c>
      <c r="V195" s="4">
        <f t="shared" si="74"/>
        <v>-2979.9844991987143</v>
      </c>
      <c r="W195">
        <f t="shared" si="75"/>
        <v>-0.17416564576719043</v>
      </c>
    </row>
    <row r="196" spans="1:23" x14ac:dyDescent="0.25">
      <c r="A196">
        <v>4.5250000000000004</v>
      </c>
      <c r="B196">
        <v>-0.28043181827961594</v>
      </c>
      <c r="E196">
        <f t="shared" si="57"/>
        <v>1.8400000000000014</v>
      </c>
      <c r="F196">
        <f t="shared" si="58"/>
        <v>-0.17416564576719043</v>
      </c>
      <c r="G196" s="3">
        <f t="shared" si="59"/>
        <v>-0.83259133884610748</v>
      </c>
      <c r="H196" s="3">
        <f t="shared" si="60"/>
        <v>205013.33611759529</v>
      </c>
      <c r="I196" s="3">
        <f t="shared" si="61"/>
        <v>-0.65842569307891707</v>
      </c>
      <c r="J196" s="4">
        <f t="shared" si="62"/>
        <v>-27.019233845230609</v>
      </c>
      <c r="K196">
        <f t="shared" si="63"/>
        <v>1.8450000000000013</v>
      </c>
      <c r="L196">
        <f t="shared" si="64"/>
        <v>-50.0246520902177</v>
      </c>
      <c r="M196">
        <f t="shared" si="65"/>
        <v>-0.83901626624359293</v>
      </c>
      <c r="N196" s="3">
        <f t="shared" si="66"/>
        <v>-1250275.4647735979</v>
      </c>
      <c r="O196" s="3">
        <f t="shared" si="67"/>
        <v>49.18563582397411</v>
      </c>
      <c r="P196" s="4">
        <f t="shared" si="68"/>
        <v>-2860.5313688651945</v>
      </c>
      <c r="Q196">
        <f t="shared" si="69"/>
        <v>1.8500000000000014</v>
      </c>
      <c r="R196">
        <f t="shared" si="70"/>
        <v>-57.114600684618779</v>
      </c>
      <c r="S196">
        <f t="shared" si="71"/>
        <v>-0.84544119364107451</v>
      </c>
      <c r="T196" s="3">
        <f t="shared" si="72"/>
        <v>-1477840.4253425219</v>
      </c>
      <c r="U196" s="3">
        <f t="shared" si="73"/>
        <v>56.269159490977707</v>
      </c>
      <c r="V196" s="4">
        <f t="shared" si="74"/>
        <v>-2961.2364625226601</v>
      </c>
      <c r="W196">
        <f t="shared" si="75"/>
        <v>-0.22620021260693385</v>
      </c>
    </row>
    <row r="197" spans="1:23" x14ac:dyDescent="0.25">
      <c r="A197">
        <v>4.55</v>
      </c>
      <c r="B197">
        <v>-0.11820793736803448</v>
      </c>
      <c r="E197">
        <f t="shared" si="57"/>
        <v>1.8500000000000014</v>
      </c>
      <c r="F197">
        <f t="shared" si="58"/>
        <v>-0.22620021260693385</v>
      </c>
      <c r="G197" s="3">
        <f t="shared" si="59"/>
        <v>-0.84544119364107451</v>
      </c>
      <c r="H197" s="3">
        <f t="shared" si="60"/>
        <v>204446.67968471049</v>
      </c>
      <c r="I197" s="3">
        <f t="shared" si="61"/>
        <v>-0.6192409810341406</v>
      </c>
      <c r="J197" s="4">
        <f t="shared" si="62"/>
        <v>-24.711804626323573</v>
      </c>
      <c r="K197">
        <f t="shared" si="63"/>
        <v>1.8550000000000013</v>
      </c>
      <c r="L197">
        <f t="shared" si="64"/>
        <v>-46.066597794437193</v>
      </c>
      <c r="M197">
        <f t="shared" si="65"/>
        <v>-0.83624897121803177</v>
      </c>
      <c r="N197" s="3">
        <f t="shared" si="66"/>
        <v>-1123234.4209978725</v>
      </c>
      <c r="O197" s="3">
        <f t="shared" si="67"/>
        <v>45.23034882321916</v>
      </c>
      <c r="P197" s="4">
        <f t="shared" si="68"/>
        <v>-2807.8214693088316</v>
      </c>
      <c r="Q197">
        <f t="shared" si="69"/>
        <v>1.8600000000000014</v>
      </c>
      <c r="R197">
        <f t="shared" si="70"/>
        <v>-56.135511552520335</v>
      </c>
      <c r="S197">
        <f t="shared" si="71"/>
        <v>-0.82705674879498869</v>
      </c>
      <c r="T197" s="3">
        <f t="shared" si="72"/>
        <v>-1446414.7560625789</v>
      </c>
      <c r="U197" s="3">
        <f t="shared" si="73"/>
        <v>55.308454803725347</v>
      </c>
      <c r="V197" s="4">
        <f t="shared" si="74"/>
        <v>-2948.4205730338335</v>
      </c>
      <c r="W197">
        <f t="shared" si="75"/>
        <v>-0.27433997470691834</v>
      </c>
    </row>
    <row r="198" spans="1:23" x14ac:dyDescent="0.25">
      <c r="A198">
        <v>4.5750000000000002</v>
      </c>
      <c r="B198">
        <v>5.3351050398456973E-2</v>
      </c>
      <c r="E198">
        <f t="shared" si="57"/>
        <v>1.8600000000000014</v>
      </c>
      <c r="F198">
        <f t="shared" si="58"/>
        <v>-0.27433997470691834</v>
      </c>
      <c r="G198" s="3">
        <f t="shared" si="59"/>
        <v>-0.82705674879498869</v>
      </c>
      <c r="H198" s="3">
        <f t="shared" si="60"/>
        <v>203922.43767544167</v>
      </c>
      <c r="I198" s="3">
        <f t="shared" si="61"/>
        <v>-0.5527167740880703</v>
      </c>
      <c r="J198" s="4">
        <f t="shared" si="62"/>
        <v>-20.892188803328583</v>
      </c>
      <c r="K198">
        <f t="shared" si="63"/>
        <v>1.8650000000000013</v>
      </c>
      <c r="L198">
        <f t="shared" si="64"/>
        <v>-39.238272092914755</v>
      </c>
      <c r="M198">
        <f t="shared" si="65"/>
        <v>-0.81786452637194607</v>
      </c>
      <c r="N198" s="3">
        <f t="shared" si="66"/>
        <v>-904066.7291127966</v>
      </c>
      <c r="O198" s="3">
        <f t="shared" si="67"/>
        <v>38.420407566542806</v>
      </c>
      <c r="P198" s="4">
        <f t="shared" si="68"/>
        <v>-2731.099061357163</v>
      </c>
      <c r="Q198">
        <f t="shared" si="69"/>
        <v>1.8700000000000014</v>
      </c>
      <c r="R198">
        <f t="shared" si="70"/>
        <v>-54.68739931381689</v>
      </c>
      <c r="S198">
        <f t="shared" si="71"/>
        <v>-0.80867230394890288</v>
      </c>
      <c r="T198" s="3">
        <f t="shared" si="72"/>
        <v>-1399934.9261862154</v>
      </c>
      <c r="U198" s="3">
        <f t="shared" si="73"/>
        <v>53.878727009867987</v>
      </c>
      <c r="V198" s="4">
        <f t="shared" si="74"/>
        <v>-2928.9578983872361</v>
      </c>
      <c r="W198">
        <f t="shared" si="75"/>
        <v>-0.31596050672819381</v>
      </c>
    </row>
    <row r="199" spans="1:23" x14ac:dyDescent="0.25">
      <c r="A199">
        <v>4.5999999999999996</v>
      </c>
      <c r="B199">
        <v>0.21884058802642187</v>
      </c>
      <c r="E199">
        <f t="shared" si="57"/>
        <v>1.8700000000000014</v>
      </c>
      <c r="F199">
        <f t="shared" si="58"/>
        <v>-0.31596050672819381</v>
      </c>
      <c r="G199" s="3">
        <f t="shared" si="59"/>
        <v>-0.80867230394890288</v>
      </c>
      <c r="H199" s="3">
        <f t="shared" si="60"/>
        <v>203469.19008172996</v>
      </c>
      <c r="I199" s="3">
        <f t="shared" si="61"/>
        <v>-0.49271179722070907</v>
      </c>
      <c r="J199" s="4">
        <f t="shared" si="62"/>
        <v>-17.623240725427841</v>
      </c>
      <c r="K199">
        <f t="shared" si="63"/>
        <v>1.8750000000000013</v>
      </c>
      <c r="L199">
        <f t="shared" si="64"/>
        <v>-33.359536866905422</v>
      </c>
      <c r="M199">
        <f t="shared" si="65"/>
        <v>-0.79948008152585637</v>
      </c>
      <c r="N199" s="3">
        <f t="shared" si="66"/>
        <v>-715377.89278492646</v>
      </c>
      <c r="O199" s="3">
        <f t="shared" si="67"/>
        <v>32.560056785379565</v>
      </c>
      <c r="P199" s="4">
        <f t="shared" si="68"/>
        <v>-2692.695247904684</v>
      </c>
      <c r="Q199">
        <f t="shared" si="69"/>
        <v>1.8800000000000014</v>
      </c>
      <c r="R199">
        <f t="shared" si="70"/>
        <v>-53.993633057567592</v>
      </c>
      <c r="S199">
        <f t="shared" si="71"/>
        <v>-0.77560582590086424</v>
      </c>
      <c r="T199" s="3">
        <f t="shared" si="72"/>
        <v>-1377667.2202014222</v>
      </c>
      <c r="U199" s="3">
        <f t="shared" si="73"/>
        <v>53.218027231666731</v>
      </c>
      <c r="V199" s="4">
        <f t="shared" si="74"/>
        <v>-2921.7215281913618</v>
      </c>
      <c r="W199">
        <f t="shared" si="75"/>
        <v>-0.35195511819058067</v>
      </c>
    </row>
    <row r="200" spans="1:23" x14ac:dyDescent="0.25">
      <c r="A200">
        <v>4.625</v>
      </c>
      <c r="B200">
        <v>0.36352767771383454</v>
      </c>
      <c r="E200">
        <f t="shared" si="57"/>
        <v>1.8800000000000014</v>
      </c>
      <c r="F200">
        <f t="shared" si="58"/>
        <v>-0.35195511819058067</v>
      </c>
      <c r="G200" s="3">
        <f t="shared" si="59"/>
        <v>-0.77560582590086424</v>
      </c>
      <c r="H200" s="3">
        <f t="shared" si="60"/>
        <v>203077.20876290457</v>
      </c>
      <c r="I200" s="3">
        <f t="shared" si="61"/>
        <v>-0.42365070771028357</v>
      </c>
      <c r="J200" s="4">
        <f t="shared" si="62"/>
        <v>-14.078153862021773</v>
      </c>
      <c r="K200">
        <f t="shared" si="63"/>
        <v>1.8850000000000013</v>
      </c>
      <c r="L200">
        <f t="shared" si="64"/>
        <v>-26.889275148101643</v>
      </c>
      <c r="M200">
        <f t="shared" si="65"/>
        <v>-0.75173157027587323</v>
      </c>
      <c r="N200" s="3">
        <f t="shared" si="66"/>
        <v>-507702.92401675292</v>
      </c>
      <c r="O200" s="3">
        <f t="shared" si="67"/>
        <v>26.13754357782577</v>
      </c>
      <c r="P200" s="4">
        <f t="shared" si="68"/>
        <v>-2728.8676865970424</v>
      </c>
      <c r="Q200">
        <f t="shared" si="69"/>
        <v>1.8900000000000015</v>
      </c>
      <c r="R200">
        <f t="shared" si="70"/>
        <v>-54.78852731151121</v>
      </c>
      <c r="S200">
        <f t="shared" si="71"/>
        <v>-0.72785731465088122</v>
      </c>
      <c r="T200" s="3">
        <f t="shared" si="72"/>
        <v>-1403180.8155606315</v>
      </c>
      <c r="U200" s="3">
        <f t="shared" si="73"/>
        <v>54.060669996860327</v>
      </c>
      <c r="V200" s="4">
        <f t="shared" si="74"/>
        <v>-2936.9968847699197</v>
      </c>
      <c r="W200">
        <f t="shared" si="75"/>
        <v>-0.38164334728687427</v>
      </c>
    </row>
    <row r="201" spans="1:23" x14ac:dyDescent="0.25">
      <c r="A201">
        <v>4.6500000000000004</v>
      </c>
      <c r="B201">
        <v>0.47465900404629247</v>
      </c>
      <c r="E201">
        <f t="shared" si="57"/>
        <v>1.8900000000000015</v>
      </c>
      <c r="F201">
        <f t="shared" si="58"/>
        <v>-0.38164334728687427</v>
      </c>
      <c r="G201" s="3">
        <f t="shared" si="59"/>
        <v>-0.72785731465088122</v>
      </c>
      <c r="H201" s="3">
        <f t="shared" si="60"/>
        <v>202753.90394804595</v>
      </c>
      <c r="I201" s="3">
        <f t="shared" si="61"/>
        <v>-0.34621396736400695</v>
      </c>
      <c r="J201" s="4">
        <f t="shared" si="62"/>
        <v>-10.416999431124388</v>
      </c>
      <c r="K201">
        <f t="shared" si="63"/>
        <v>1.8950000000000014</v>
      </c>
      <c r="L201">
        <f t="shared" si="64"/>
        <v>-20.121857269267604</v>
      </c>
      <c r="M201">
        <f t="shared" si="65"/>
        <v>-0.7039830590258902</v>
      </c>
      <c r="N201" s="3">
        <f t="shared" si="66"/>
        <v>-290490.18089948187</v>
      </c>
      <c r="O201" s="3">
        <f t="shared" si="67"/>
        <v>19.417874210241713</v>
      </c>
      <c r="P201" s="4">
        <f t="shared" si="68"/>
        <v>-3053.9790715502909</v>
      </c>
      <c r="Q201">
        <f t="shared" si="69"/>
        <v>1.9000000000000015</v>
      </c>
      <c r="R201">
        <f t="shared" si="70"/>
        <v>-61.357054783981454</v>
      </c>
      <c r="S201">
        <f t="shared" si="71"/>
        <v>-0.68010880340089419</v>
      </c>
      <c r="T201" s="3">
        <f t="shared" si="72"/>
        <v>-1614009.8047085921</v>
      </c>
      <c r="U201" s="3">
        <f t="shared" si="73"/>
        <v>60.676945980580562</v>
      </c>
      <c r="V201" s="4">
        <f t="shared" si="74"/>
        <v>-3036.1581536713702</v>
      </c>
      <c r="W201">
        <f t="shared" si="75"/>
        <v>-0.40483174807125566</v>
      </c>
    </row>
    <row r="202" spans="1:23" x14ac:dyDescent="0.25">
      <c r="A202">
        <v>4.6749999999999998</v>
      </c>
      <c r="B202">
        <v>0.54258044697518015</v>
      </c>
      <c r="E202">
        <f t="shared" si="57"/>
        <v>1.9000000000000015</v>
      </c>
      <c r="F202">
        <f t="shared" si="58"/>
        <v>-0.40483174807125566</v>
      </c>
      <c r="G202" s="3">
        <f t="shared" si="59"/>
        <v>-0.68010880340089419</v>
      </c>
      <c r="H202" s="3">
        <f t="shared" si="60"/>
        <v>202501.38226350403</v>
      </c>
      <c r="I202" s="3">
        <f t="shared" si="61"/>
        <v>-0.27527705532963853</v>
      </c>
      <c r="J202" s="4">
        <f t="shared" si="62"/>
        <v>-7.3947248230240499</v>
      </c>
      <c r="K202">
        <f t="shared" si="63"/>
        <v>1.9050000000000014</v>
      </c>
      <c r="L202">
        <f t="shared" si="64"/>
        <v>-14.491782535932082</v>
      </c>
      <c r="M202">
        <f t="shared" si="65"/>
        <v>-0.6438361614700906</v>
      </c>
      <c r="N202" s="3">
        <f t="shared" si="66"/>
        <v>-109782.56114278003</v>
      </c>
      <c r="O202" s="3">
        <f t="shared" si="67"/>
        <v>13.847946374461991</v>
      </c>
      <c r="P202" s="4">
        <f t="shared" si="68"/>
        <v>-4866.7573095629587</v>
      </c>
      <c r="Q202">
        <f t="shared" si="69"/>
        <v>1.9100000000000015</v>
      </c>
      <c r="R202">
        <f t="shared" si="70"/>
        <v>-97.66603069110019</v>
      </c>
      <c r="S202">
        <f t="shared" si="71"/>
        <v>-0.60756351953928533</v>
      </c>
      <c r="T202" s="3">
        <f t="shared" si="72"/>
        <v>-2779413.2714031865</v>
      </c>
      <c r="U202" s="3">
        <f t="shared" si="73"/>
        <v>97.058467171560906</v>
      </c>
      <c r="V202" s="4">
        <f t="shared" si="74"/>
        <v>-3566.9087900312024</v>
      </c>
      <c r="W202">
        <f t="shared" si="75"/>
        <v>-0.42246113638532851</v>
      </c>
    </row>
    <row r="203" spans="1:23" x14ac:dyDescent="0.25">
      <c r="A203">
        <v>4.7</v>
      </c>
      <c r="B203">
        <v>0.56157018007034298</v>
      </c>
      <c r="E203">
        <f t="shared" si="57"/>
        <v>1.9100000000000015</v>
      </c>
      <c r="F203">
        <f t="shared" si="58"/>
        <v>-0.42246113638532851</v>
      </c>
      <c r="G203" s="3">
        <f t="shared" si="59"/>
        <v>-0.60756351953928533</v>
      </c>
      <c r="H203" s="3">
        <f t="shared" si="60"/>
        <v>202309.39822476378</v>
      </c>
      <c r="I203" s="3">
        <f t="shared" si="61"/>
        <v>-0.18510238315395683</v>
      </c>
      <c r="J203" s="4">
        <f t="shared" si="62"/>
        <v>-4.0812852123093961</v>
      </c>
      <c r="K203">
        <f t="shared" si="63"/>
        <v>1.9150000000000014</v>
      </c>
      <c r="L203">
        <f t="shared" si="64"/>
        <v>-8.2381223179578278</v>
      </c>
      <c r="M203">
        <f t="shared" si="65"/>
        <v>-0.57129087760848163</v>
      </c>
      <c r="N203" s="3">
        <f t="shared" si="66"/>
        <v>90940.183453505175</v>
      </c>
      <c r="O203" s="3">
        <f t="shared" si="67"/>
        <v>7.6668314403493465</v>
      </c>
      <c r="P203" s="4">
        <f t="shared" si="68"/>
        <v>2420.2656401143777</v>
      </c>
      <c r="Q203">
        <f t="shared" si="69"/>
        <v>1.9200000000000015</v>
      </c>
      <c r="R203">
        <f t="shared" si="70"/>
        <v>48.023664518025321</v>
      </c>
      <c r="S203">
        <f t="shared" si="71"/>
        <v>-0.53501823567767637</v>
      </c>
      <c r="T203" s="3">
        <f t="shared" si="72"/>
        <v>729887.70660129574</v>
      </c>
      <c r="U203" s="3">
        <f t="shared" si="73"/>
        <v>-48.558682753702996</v>
      </c>
      <c r="V203" s="4">
        <f t="shared" si="74"/>
        <v>-4806.614423390879</v>
      </c>
      <c r="W203">
        <f t="shared" si="75"/>
        <v>-0.43396358131603019</v>
      </c>
    </row>
    <row r="204" spans="1:23" x14ac:dyDescent="0.25">
      <c r="A204">
        <v>4.7249999999999996</v>
      </c>
      <c r="B204">
        <v>0.53031403569538105</v>
      </c>
      <c r="E204">
        <f t="shared" si="57"/>
        <v>1.9200000000000015</v>
      </c>
      <c r="F204">
        <f t="shared" si="58"/>
        <v>-0.43396358131603019</v>
      </c>
      <c r="G204" s="3">
        <f t="shared" si="59"/>
        <v>-0.53501823567767637</v>
      </c>
      <c r="H204" s="3">
        <f t="shared" si="60"/>
        <v>202184.13659946845</v>
      </c>
      <c r="I204" s="3">
        <f t="shared" si="61"/>
        <v>-0.10105465436164618</v>
      </c>
      <c r="J204" s="4">
        <f t="shared" si="62"/>
        <v>-1.6473367694826102</v>
      </c>
      <c r="K204">
        <f t="shared" si="63"/>
        <v>1.9250000000000014</v>
      </c>
      <c r="L204">
        <f t="shared" si="64"/>
        <v>-3.6050868625700572</v>
      </c>
      <c r="M204">
        <f t="shared" si="65"/>
        <v>-0.49874559374687027</v>
      </c>
      <c r="N204" s="3">
        <f t="shared" si="66"/>
        <v>167650.60406661208</v>
      </c>
      <c r="O204" s="3">
        <f t="shared" si="67"/>
        <v>3.1063412688231868</v>
      </c>
      <c r="P204" s="4">
        <f t="shared" si="68"/>
        <v>338.58180479154277</v>
      </c>
      <c r="Q204">
        <f t="shared" si="69"/>
        <v>1.9300000000000015</v>
      </c>
      <c r="R204">
        <f t="shared" si="70"/>
        <v>6.354145882209651</v>
      </c>
      <c r="S204">
        <f t="shared" si="71"/>
        <v>-0.45348807894346721</v>
      </c>
      <c r="T204" s="3">
        <f t="shared" si="72"/>
        <v>276106.64865726308</v>
      </c>
      <c r="U204" s="3">
        <f t="shared" si="73"/>
        <v>-6.807633961153118</v>
      </c>
      <c r="V204" s="4">
        <f t="shared" si="74"/>
        <v>-666.97939613697804</v>
      </c>
      <c r="W204">
        <f t="shared" si="75"/>
        <v>-0.44078992668838612</v>
      </c>
    </row>
    <row r="205" spans="1:23" x14ac:dyDescent="0.25">
      <c r="A205">
        <v>4.75</v>
      </c>
      <c r="B205">
        <v>0.45198435072709897</v>
      </c>
      <c r="E205">
        <f t="shared" si="57"/>
        <v>1.9300000000000015</v>
      </c>
      <c r="F205">
        <f t="shared" si="58"/>
        <v>-0.44078992668838612</v>
      </c>
      <c r="G205" s="3">
        <f t="shared" si="59"/>
        <v>-0.45348807894346721</v>
      </c>
      <c r="H205" s="3">
        <f t="shared" si="60"/>
        <v>202109.79769836349</v>
      </c>
      <c r="I205" s="3">
        <f t="shared" si="61"/>
        <v>-1.2698152255081085E-2</v>
      </c>
      <c r="J205" s="4">
        <f t="shared" si="62"/>
        <v>-7.3403778547153797E-2</v>
      </c>
      <c r="K205">
        <f t="shared" si="63"/>
        <v>1.9350000000000014</v>
      </c>
      <c r="L205">
        <f t="shared" si="64"/>
        <v>-0.58282623817712886</v>
      </c>
      <c r="M205">
        <f t="shared" si="65"/>
        <v>-0.40823056414006614</v>
      </c>
      <c r="N205" s="3">
        <f t="shared" si="66"/>
        <v>200563.02226625106</v>
      </c>
      <c r="O205" s="3">
        <f t="shared" si="67"/>
        <v>0.17459567403706272</v>
      </c>
      <c r="P205" s="4">
        <f t="shared" si="68"/>
        <v>3.7713283137282998</v>
      </c>
      <c r="Q205">
        <f t="shared" si="69"/>
        <v>1.9400000000000015</v>
      </c>
      <c r="R205">
        <f t="shared" si="70"/>
        <v>-0.36462932262834857</v>
      </c>
      <c r="S205">
        <f t="shared" si="71"/>
        <v>-0.36297304933666308</v>
      </c>
      <c r="T205" s="3">
        <f t="shared" si="72"/>
        <v>202939.18667657729</v>
      </c>
      <c r="U205" s="3">
        <f t="shared" si="73"/>
        <v>1.656273291685495E-3</v>
      </c>
      <c r="V205" s="4">
        <f t="shared" si="74"/>
        <v>3.4437139592090509E-3</v>
      </c>
      <c r="W205">
        <f t="shared" si="75"/>
        <v>-0.44423875849579292</v>
      </c>
    </row>
    <row r="206" spans="1:23" x14ac:dyDescent="0.25">
      <c r="A206">
        <v>4.7750000000000004</v>
      </c>
      <c r="B206">
        <v>0.33391912699140069</v>
      </c>
      <c r="E206">
        <f t="shared" si="57"/>
        <v>1.9400000000000015</v>
      </c>
      <c r="F206">
        <f t="shared" si="58"/>
        <v>-0.44423875849579292</v>
      </c>
      <c r="G206" s="3">
        <f t="shared" si="59"/>
        <v>-0.36297304933666308</v>
      </c>
      <c r="H206" s="3">
        <f t="shared" si="60"/>
        <v>202072.23991998081</v>
      </c>
      <c r="I206" s="3">
        <f t="shared" si="61"/>
        <v>8.126570915912984E-2</v>
      </c>
      <c r="J206" s="4">
        <f t="shared" si="62"/>
        <v>1.1886372255862707</v>
      </c>
      <c r="K206">
        <f t="shared" si="63"/>
        <v>1.9450000000000014</v>
      </c>
      <c r="L206">
        <f t="shared" si="64"/>
        <v>1.867660645269505</v>
      </c>
      <c r="M206">
        <f t="shared" si="65"/>
        <v>-0.31771553453326201</v>
      </c>
      <c r="N206" s="3">
        <f t="shared" si="66"/>
        <v>227248.82442698491</v>
      </c>
      <c r="O206" s="3">
        <f t="shared" si="67"/>
        <v>-2.1853761798027671</v>
      </c>
      <c r="P206" s="4">
        <f t="shared" si="68"/>
        <v>-147.39496584956481</v>
      </c>
      <c r="Q206">
        <f t="shared" si="69"/>
        <v>1.9500000000000015</v>
      </c>
      <c r="R206">
        <f t="shared" si="70"/>
        <v>-3.4040244477429518</v>
      </c>
      <c r="S206">
        <f t="shared" si="71"/>
        <v>-0.2724580197298575</v>
      </c>
      <c r="T206" s="3">
        <f t="shared" si="72"/>
        <v>169840.17376407926</v>
      </c>
      <c r="U206" s="3">
        <f t="shared" si="73"/>
        <v>3.1315664280130941</v>
      </c>
      <c r="V206" s="4">
        <f t="shared" si="74"/>
        <v>338.29611150271569</v>
      </c>
      <c r="W206">
        <f t="shared" si="75"/>
        <v>-0.444829896716254</v>
      </c>
    </row>
    <row r="207" spans="1:23" x14ac:dyDescent="0.25">
      <c r="A207">
        <v>4.8</v>
      </c>
      <c r="B207">
        <v>0.1869338548794601</v>
      </c>
      <c r="E207">
        <f t="shared" si="57"/>
        <v>1.9500000000000015</v>
      </c>
      <c r="F207">
        <f t="shared" si="58"/>
        <v>-0.444829896716254</v>
      </c>
      <c r="G207" s="3">
        <f t="shared" si="59"/>
        <v>-0.2724580197298575</v>
      </c>
      <c r="H207" s="3">
        <f t="shared" si="60"/>
        <v>202065.80242475998</v>
      </c>
      <c r="I207" s="3">
        <f t="shared" si="61"/>
        <v>0.1723718769863965</v>
      </c>
      <c r="J207" s="4">
        <f t="shared" si="62"/>
        <v>3.671992494508963</v>
      </c>
      <c r="K207">
        <f t="shared" si="63"/>
        <v>1.9550000000000014</v>
      </c>
      <c r="L207">
        <f t="shared" si="64"/>
        <v>6.733915430048774</v>
      </c>
      <c r="M207">
        <f t="shared" si="65"/>
        <v>-0.22243740761429326</v>
      </c>
      <c r="N207" s="3">
        <f t="shared" si="66"/>
        <v>280242.33903323114</v>
      </c>
      <c r="O207" s="3">
        <f t="shared" si="67"/>
        <v>-6.9563528376630677</v>
      </c>
      <c r="P207" s="4">
        <f t="shared" si="68"/>
        <v>-678.78719725875317</v>
      </c>
      <c r="Q207">
        <f t="shared" si="69"/>
        <v>1.9600000000000015</v>
      </c>
      <c r="R207">
        <f t="shared" si="70"/>
        <v>-14.057293766836406</v>
      </c>
      <c r="S207">
        <f t="shared" si="71"/>
        <v>-0.17241679549872682</v>
      </c>
      <c r="T207" s="3">
        <f t="shared" si="72"/>
        <v>-95836.843724605977</v>
      </c>
      <c r="U207" s="3">
        <f t="shared" si="73"/>
        <v>13.884876971337679</v>
      </c>
      <c r="V207" s="4">
        <f t="shared" si="74"/>
        <v>-5597.2607641183386</v>
      </c>
      <c r="W207">
        <f t="shared" si="75"/>
        <v>-0.44048018660199889</v>
      </c>
    </row>
    <row r="208" spans="1:23" x14ac:dyDescent="0.25">
      <c r="A208">
        <v>4.8250000000000002</v>
      </c>
      <c r="B208">
        <v>2.4330610247986884E-2</v>
      </c>
      <c r="E208">
        <f t="shared" si="57"/>
        <v>1.9600000000000015</v>
      </c>
      <c r="F208">
        <f t="shared" si="58"/>
        <v>-0.44048018660199889</v>
      </c>
      <c r="G208" s="3">
        <f t="shared" si="59"/>
        <v>-0.17241679549872682</v>
      </c>
      <c r="H208" s="3">
        <f t="shared" si="60"/>
        <v>202113.17076790423</v>
      </c>
      <c r="I208" s="3">
        <f t="shared" si="61"/>
        <v>0.26806339110327204</v>
      </c>
      <c r="J208" s="4">
        <f t="shared" si="62"/>
        <v>7.1196170441001625</v>
      </c>
      <c r="K208">
        <f t="shared" si="63"/>
        <v>1.9650000000000014</v>
      </c>
      <c r="L208">
        <f t="shared" si="64"/>
        <v>13.549567305054831</v>
      </c>
      <c r="M208">
        <f t="shared" si="65"/>
        <v>-0.12239618338316259</v>
      </c>
      <c r="N208" s="3">
        <f t="shared" si="66"/>
        <v>354464.78795204713</v>
      </c>
      <c r="O208" s="3">
        <f t="shared" si="67"/>
        <v>-13.671963488437994</v>
      </c>
      <c r="P208" s="4">
        <f t="shared" si="68"/>
        <v>-1478.6596569597962</v>
      </c>
      <c r="Q208">
        <f t="shared" si="69"/>
        <v>1.9700000000000015</v>
      </c>
      <c r="R208">
        <f t="shared" si="70"/>
        <v>-30.084869496238923</v>
      </c>
      <c r="S208">
        <f t="shared" si="71"/>
        <v>-7.2375571267596139E-2</v>
      </c>
      <c r="T208" s="3">
        <f t="shared" si="72"/>
        <v>-610271.41124138655</v>
      </c>
      <c r="U208" s="3">
        <f t="shared" si="73"/>
        <v>30.012493924971327</v>
      </c>
      <c r="V208" s="4">
        <f t="shared" si="74"/>
        <v>-2793.3482995125532</v>
      </c>
      <c r="W208">
        <f t="shared" si="75"/>
        <v>-0.42955075870316572</v>
      </c>
    </row>
    <row r="209" spans="1:23" x14ac:dyDescent="0.25">
      <c r="A209">
        <v>4.8499999999999996</v>
      </c>
      <c r="B209">
        <v>-0.13930477642617467</v>
      </c>
      <c r="E209">
        <f t="shared" si="57"/>
        <v>1.9700000000000015</v>
      </c>
      <c r="F209">
        <f t="shared" si="58"/>
        <v>-0.42955075870316572</v>
      </c>
      <c r="G209" s="3">
        <f t="shared" si="59"/>
        <v>-7.2375571267596139E-2</v>
      </c>
      <c r="H209" s="3">
        <f t="shared" si="60"/>
        <v>202232.19223772251</v>
      </c>
      <c r="I209" s="3">
        <f t="shared" si="61"/>
        <v>0.35717518743556959</v>
      </c>
      <c r="J209" s="4">
        <f t="shared" si="62"/>
        <v>10.943761524412215</v>
      </c>
      <c r="K209">
        <f t="shared" si="63"/>
        <v>1.9750000000000014</v>
      </c>
      <c r="L209">
        <f t="shared" si="64"/>
        <v>21.184378252010976</v>
      </c>
      <c r="M209">
        <f t="shared" si="65"/>
        <v>-2.2354959152031884E-2</v>
      </c>
      <c r="N209" s="3">
        <f t="shared" si="66"/>
        <v>437607.87916439952</v>
      </c>
      <c r="O209" s="3">
        <f t="shared" si="67"/>
        <v>-21.206733211163009</v>
      </c>
      <c r="P209" s="4">
        <f t="shared" si="68"/>
        <v>-2313.7717532494812</v>
      </c>
      <c r="Q209">
        <f t="shared" si="69"/>
        <v>1.9800000000000015</v>
      </c>
      <c r="R209">
        <f t="shared" si="70"/>
        <v>-46.814423438936913</v>
      </c>
      <c r="S209">
        <f t="shared" si="71"/>
        <v>2.7792922640895154E-2</v>
      </c>
      <c r="T209" s="3">
        <f t="shared" si="72"/>
        <v>-1147237.2626316466</v>
      </c>
      <c r="U209" s="3">
        <f t="shared" si="73"/>
        <v>46.842216361577812</v>
      </c>
      <c r="V209" s="4">
        <f t="shared" si="74"/>
        <v>-2897.3295615117963</v>
      </c>
      <c r="W209">
        <f t="shared" si="75"/>
        <v>-0.41141386768575744</v>
      </c>
    </row>
    <row r="210" spans="1:23" x14ac:dyDescent="0.25">
      <c r="A210">
        <v>4.875</v>
      </c>
      <c r="B210">
        <v>-0.28940881226414628</v>
      </c>
      <c r="E210">
        <f t="shared" si="57"/>
        <v>1.9800000000000015</v>
      </c>
      <c r="F210">
        <f t="shared" si="58"/>
        <v>-0.41141386768575744</v>
      </c>
      <c r="G210" s="3">
        <f t="shared" si="59"/>
        <v>2.7792922640895154E-2</v>
      </c>
      <c r="H210" s="3">
        <f t="shared" si="60"/>
        <v>202429.7029809021</v>
      </c>
      <c r="I210" s="3">
        <f t="shared" si="61"/>
        <v>0.43920679032665261</v>
      </c>
      <c r="J210" s="4">
        <f t="shared" si="62"/>
        <v>14.908169417228502</v>
      </c>
      <c r="K210">
        <f t="shared" si="63"/>
        <v>1.9850000000000014</v>
      </c>
      <c r="L210">
        <f t="shared" si="64"/>
        <v>29.18130242551284</v>
      </c>
      <c r="M210">
        <f t="shared" si="65"/>
        <v>7.7940804433819968E-2</v>
      </c>
      <c r="N210" s="3">
        <f t="shared" si="66"/>
        <v>524694.38341383485</v>
      </c>
      <c r="O210" s="3">
        <f t="shared" si="67"/>
        <v>-29.103361621079021</v>
      </c>
      <c r="P210" s="4">
        <f t="shared" si="68"/>
        <v>-3102.4393962001959</v>
      </c>
      <c r="Q210">
        <f t="shared" si="69"/>
        <v>1.9900000000000015</v>
      </c>
      <c r="R210">
        <f t="shared" si="70"/>
        <v>-62.609283485861958</v>
      </c>
      <c r="S210">
        <f t="shared" si="71"/>
        <v>0.12808868622674702</v>
      </c>
      <c r="T210" s="3">
        <f t="shared" si="72"/>
        <v>-1654202.3916325292</v>
      </c>
      <c r="U210" s="3">
        <f t="shared" si="73"/>
        <v>62.737372172088705</v>
      </c>
      <c r="V210" s="4">
        <f t="shared" si="74"/>
        <v>-3114.5537475752735</v>
      </c>
      <c r="W210">
        <f t="shared" si="75"/>
        <v>-0.38583383215043987</v>
      </c>
    </row>
    <row r="211" spans="1:23" x14ac:dyDescent="0.25">
      <c r="A211">
        <v>4.9000000000000004</v>
      </c>
      <c r="B211">
        <v>-0.41273296918342478</v>
      </c>
      <c r="E211">
        <f t="shared" si="57"/>
        <v>1.9900000000000015</v>
      </c>
      <c r="F211">
        <f t="shared" si="58"/>
        <v>-0.38583383215043987</v>
      </c>
      <c r="G211" s="3">
        <f t="shared" si="59"/>
        <v>0.12808868622674702</v>
      </c>
      <c r="H211" s="3">
        <f t="shared" si="60"/>
        <v>202708.26956788171</v>
      </c>
      <c r="I211" s="3">
        <f t="shared" si="61"/>
        <v>0.51392251837718694</v>
      </c>
      <c r="J211" s="4">
        <f t="shared" si="62"/>
        <v>18.843865398349376</v>
      </c>
      <c r="K211">
        <f t="shared" si="63"/>
        <v>1.9950000000000014</v>
      </c>
      <c r="L211">
        <f t="shared" si="64"/>
        <v>37.207677637556593</v>
      </c>
      <c r="M211">
        <f t="shared" si="65"/>
        <v>0.17823656801967183</v>
      </c>
      <c r="N211" s="3">
        <f t="shared" si="66"/>
        <v>612101.60947299132</v>
      </c>
      <c r="O211" s="3">
        <f t="shared" si="67"/>
        <v>-37.029441069536922</v>
      </c>
      <c r="P211" s="4">
        <f t="shared" si="68"/>
        <v>-3816.736711645874</v>
      </c>
      <c r="Q211">
        <f t="shared" si="69"/>
        <v>2.0000000000000013</v>
      </c>
      <c r="R211">
        <f t="shared" si="70"/>
        <v>-76.909006719051419</v>
      </c>
      <c r="S211">
        <f t="shared" si="71"/>
        <v>0.22838444981259542</v>
      </c>
      <c r="T211" s="3">
        <f t="shared" si="72"/>
        <v>-2113178.3503971747</v>
      </c>
      <c r="U211" s="3">
        <f t="shared" si="73"/>
        <v>77.137391168864013</v>
      </c>
      <c r="V211" s="4">
        <f t="shared" si="74"/>
        <v>-3323.9635740734661</v>
      </c>
      <c r="W211">
        <f t="shared" si="75"/>
        <v>-0.35285850528337209</v>
      </c>
    </row>
    <row r="212" spans="1:23" x14ac:dyDescent="0.25">
      <c r="A212">
        <v>4.9249999999999998</v>
      </c>
      <c r="B212">
        <v>-0.49850846880240274</v>
      </c>
      <c r="E212">
        <f t="shared" si="57"/>
        <v>2.0000000000000013</v>
      </c>
      <c r="F212">
        <f t="shared" si="58"/>
        <v>-0.35285850528337209</v>
      </c>
      <c r="G212" s="3">
        <f t="shared" si="59"/>
        <v>0.22838444981259542</v>
      </c>
      <c r="H212" s="3">
        <f t="shared" si="60"/>
        <v>203067.37087746407</v>
      </c>
      <c r="I212" s="3">
        <f t="shared" si="61"/>
        <v>0.58124295509596746</v>
      </c>
      <c r="J212" s="4">
        <f t="shared" si="62"/>
        <v>22.625146274510055</v>
      </c>
      <c r="K212">
        <f t="shared" si="63"/>
        <v>2.0050000000000012</v>
      </c>
      <c r="L212">
        <f t="shared" si="64"/>
        <v>45.010559775109314</v>
      </c>
      <c r="M212">
        <f t="shared" si="65"/>
        <v>0.2740396904812088</v>
      </c>
      <c r="N212" s="3">
        <f t="shared" si="66"/>
        <v>697074.99595094041</v>
      </c>
      <c r="O212" s="3">
        <f t="shared" si="67"/>
        <v>-44.736520084628104</v>
      </c>
      <c r="P212" s="4">
        <f t="shared" si="68"/>
        <v>-4450.4997565061267</v>
      </c>
      <c r="Q212">
        <f t="shared" si="69"/>
        <v>2.0100000000000011</v>
      </c>
      <c r="R212">
        <f t="shared" si="70"/>
        <v>-89.589105098151009</v>
      </c>
      <c r="S212">
        <f t="shared" si="71"/>
        <v>0.31969493114982223</v>
      </c>
      <c r="T212" s="3">
        <f t="shared" si="72"/>
        <v>-2520169.4659503372</v>
      </c>
      <c r="U212" s="3">
        <f t="shared" si="73"/>
        <v>89.908800029300835</v>
      </c>
      <c r="V212" s="4">
        <f t="shared" si="74"/>
        <v>-3507.2647083361676</v>
      </c>
      <c r="W212">
        <f t="shared" si="75"/>
        <v>-0.31279017200406423</v>
      </c>
    </row>
    <row r="213" spans="1:23" x14ac:dyDescent="0.25">
      <c r="A213">
        <v>4.95</v>
      </c>
      <c r="B213">
        <v>-0.53938128182168499</v>
      </c>
      <c r="G213" s="3"/>
      <c r="H213" s="3"/>
      <c r="I213" s="3"/>
      <c r="J213" s="4"/>
      <c r="N213" s="3"/>
      <c r="O213" s="3"/>
      <c r="P213" s="4"/>
      <c r="T213" s="3"/>
      <c r="U213" s="3"/>
      <c r="V213" s="4"/>
    </row>
    <row r="214" spans="1:23" x14ac:dyDescent="0.25">
      <c r="A214">
        <v>4.9749999999999996</v>
      </c>
      <c r="B214">
        <v>-0.53203670781506229</v>
      </c>
      <c r="G214" s="3"/>
      <c r="H214" s="3"/>
      <c r="I214" s="3"/>
      <c r="J214" s="4"/>
      <c r="N214" s="3"/>
      <c r="O214" s="3"/>
      <c r="P214" s="4"/>
      <c r="T214" s="3"/>
      <c r="U214" s="3"/>
      <c r="V214" s="4"/>
    </row>
    <row r="215" spans="1:23" x14ac:dyDescent="0.25">
      <c r="A215">
        <v>5</v>
      </c>
      <c r="B215">
        <v>-0.47746110797659569</v>
      </c>
      <c r="G215" s="3"/>
      <c r="H215" s="3"/>
      <c r="I215" s="3"/>
      <c r="J215" s="4"/>
      <c r="N215" s="3"/>
      <c r="O215" s="3"/>
      <c r="P215" s="4"/>
      <c r="T215" s="3"/>
      <c r="U215" s="3"/>
      <c r="V215" s="4"/>
    </row>
    <row r="216" spans="1:23" x14ac:dyDescent="0.25">
      <c r="A216">
        <v>5.0250000000000004</v>
      </c>
      <c r="B216">
        <v>-0.38082090561769766</v>
      </c>
      <c r="G216" s="3"/>
      <c r="H216" s="3"/>
      <c r="I216" s="3"/>
      <c r="J216" s="4"/>
      <c r="N216" s="3"/>
      <c r="O216" s="3"/>
      <c r="P216" s="4"/>
      <c r="T216" s="3"/>
      <c r="U216" s="3"/>
      <c r="V216" s="4"/>
    </row>
    <row r="217" spans="1:23" x14ac:dyDescent="0.25">
      <c r="A217">
        <v>5.05</v>
      </c>
      <c r="B217">
        <v>-0.25097293366745066</v>
      </c>
      <c r="G217" s="3"/>
      <c r="H217" s="3"/>
      <c r="I217" s="3"/>
      <c r="J217" s="4"/>
      <c r="N217" s="3"/>
      <c r="O217" s="3"/>
      <c r="P217" s="4"/>
      <c r="T217" s="3"/>
      <c r="U217" s="3"/>
      <c r="V217" s="4"/>
    </row>
    <row r="218" spans="1:23" x14ac:dyDescent="0.25">
      <c r="A218">
        <v>5.0750000000000002</v>
      </c>
      <c r="B218">
        <v>-9.9652590393264656E-2</v>
      </c>
      <c r="G218" s="3"/>
      <c r="H218" s="3"/>
      <c r="I218" s="3"/>
      <c r="J218" s="4"/>
      <c r="N218" s="3"/>
      <c r="O218" s="3"/>
      <c r="P218" s="4"/>
      <c r="T218" s="3"/>
      <c r="U218" s="3"/>
      <c r="V218" s="4"/>
    </row>
    <row r="219" spans="1:23" x14ac:dyDescent="0.25">
      <c r="A219">
        <v>5.0999999999999996</v>
      </c>
      <c r="B219">
        <v>5.958576709501523E-2</v>
      </c>
      <c r="G219" s="3"/>
      <c r="H219" s="3"/>
      <c r="I219" s="3"/>
      <c r="J219" s="4"/>
      <c r="N219" s="3"/>
      <c r="O219" s="3"/>
      <c r="P219" s="4"/>
      <c r="T219" s="3"/>
      <c r="U219" s="3"/>
      <c r="V219" s="4"/>
    </row>
    <row r="220" spans="1:23" x14ac:dyDescent="0.25">
      <c r="A220">
        <v>5.125</v>
      </c>
      <c r="B220">
        <v>0.21258061863416883</v>
      </c>
    </row>
    <row r="221" spans="1:23" x14ac:dyDescent="0.25">
      <c r="A221">
        <v>5.15</v>
      </c>
      <c r="B221">
        <v>0.3458191601979243</v>
      </c>
    </row>
    <row r="222" spans="1:23" x14ac:dyDescent="0.25">
      <c r="A222">
        <v>5.1749999999999998</v>
      </c>
      <c r="B222">
        <v>0.44762624868632361</v>
      </c>
    </row>
    <row r="223" spans="1:23" x14ac:dyDescent="0.25">
      <c r="A223">
        <v>5.2</v>
      </c>
      <c r="B223">
        <v>0.50918226040844927</v>
      </c>
    </row>
    <row r="224" spans="1:23" x14ac:dyDescent="0.25">
      <c r="A224">
        <v>5.2249999999999996</v>
      </c>
      <c r="B224">
        <v>0.52528165428189821</v>
      </c>
    </row>
    <row r="225" spans="1:2" x14ac:dyDescent="0.25">
      <c r="A225">
        <v>5.25</v>
      </c>
      <c r="B225">
        <v>0.49476756364478547</v>
      </c>
    </row>
    <row r="226" spans="1:2" x14ac:dyDescent="0.25">
      <c r="A226">
        <v>5.2750000000000004</v>
      </c>
      <c r="B226">
        <v>0.42060672884356948</v>
      </c>
    </row>
    <row r="227" spans="1:2" x14ac:dyDescent="0.25">
      <c r="A227">
        <v>5.3</v>
      </c>
      <c r="B227">
        <v>0.30960093790282417</v>
      </c>
    </row>
    <row r="228" spans="1:2" x14ac:dyDescent="0.25">
      <c r="A228">
        <v>5.3250000000000002</v>
      </c>
      <c r="B228">
        <v>0.17176305272524051</v>
      </c>
    </row>
    <row r="229" spans="1:2" x14ac:dyDescent="0.25">
      <c r="A229">
        <v>5.35</v>
      </c>
      <c r="B229">
        <v>1.9414875423699893E-2</v>
      </c>
    </row>
    <row r="230" spans="1:2" x14ac:dyDescent="0.25">
      <c r="A230">
        <v>5.375</v>
      </c>
      <c r="B230">
        <v>-0.13391196832505034</v>
      </c>
    </row>
    <row r="231" spans="1:2" x14ac:dyDescent="0.25">
      <c r="A231">
        <v>5.4</v>
      </c>
      <c r="B231">
        <v>-0.27467432404574932</v>
      </c>
    </row>
    <row r="232" spans="1:2" x14ac:dyDescent="0.25">
      <c r="A232">
        <v>5.4249999999999998</v>
      </c>
      <c r="B232">
        <v>-0.39050922786647957</v>
      </c>
    </row>
    <row r="233" spans="1:2" x14ac:dyDescent="0.25">
      <c r="A233">
        <v>5.45</v>
      </c>
      <c r="B233">
        <v>-0.47131464499888354</v>
      </c>
    </row>
    <row r="234" spans="1:2" x14ac:dyDescent="0.25">
      <c r="A234">
        <v>5.4749999999999996</v>
      </c>
      <c r="B234">
        <v>-0.51012526988309526</v>
      </c>
    </row>
    <row r="235" spans="1:2" x14ac:dyDescent="0.25">
      <c r="A235">
        <v>5.5</v>
      </c>
      <c r="B235">
        <v>-0.50370799419053847</v>
      </c>
    </row>
    <row r="236" spans="1:2" x14ac:dyDescent="0.25">
      <c r="A236">
        <v>5.5250000000000004</v>
      </c>
      <c r="B236">
        <v>-0.45282664768133135</v>
      </c>
    </row>
    <row r="237" spans="1:2" x14ac:dyDescent="0.25">
      <c r="A237">
        <v>5.55</v>
      </c>
      <c r="B237">
        <v>-0.36215482710991176</v>
      </c>
    </row>
    <row r="238" spans="1:2" x14ac:dyDescent="0.25">
      <c r="A238">
        <v>5.5750000000000002</v>
      </c>
      <c r="B238">
        <v>-0.23984647988375668</v>
      </c>
    </row>
    <row r="239" spans="1:2" x14ac:dyDescent="0.25">
      <c r="A239">
        <v>5.6</v>
      </c>
      <c r="B239">
        <v>-9.6803710797542422E-2</v>
      </c>
    </row>
    <row r="240" spans="1:2" x14ac:dyDescent="0.25">
      <c r="A240">
        <v>5.625</v>
      </c>
      <c r="B240">
        <v>5.4292547076589787E-2</v>
      </c>
    </row>
    <row r="241" spans="1:2" x14ac:dyDescent="0.25">
      <c r="A241">
        <v>5.65</v>
      </c>
      <c r="B241">
        <v>0.20010305755084634</v>
      </c>
    </row>
    <row r="242" spans="1:2" x14ac:dyDescent="0.25">
      <c r="A242">
        <v>5.6749999999999998</v>
      </c>
      <c r="B242">
        <v>0.32780335868505306</v>
      </c>
    </row>
    <row r="243" spans="1:2" x14ac:dyDescent="0.25">
      <c r="A243">
        <v>5.7</v>
      </c>
      <c r="B243">
        <v>0.42620669103270487</v>
      </c>
    </row>
    <row r="244" spans="1:2" x14ac:dyDescent="0.25">
      <c r="A244">
        <v>5.7249999999999996</v>
      </c>
      <c r="B244">
        <v>0.48673896240324466</v>
      </c>
    </row>
    <row r="245" spans="1:2" x14ac:dyDescent="0.25">
      <c r="A245">
        <v>5.75</v>
      </c>
      <c r="B245">
        <v>0.50418128978760124</v>
      </c>
    </row>
    <row r="246" spans="1:2" x14ac:dyDescent="0.25">
      <c r="A246">
        <v>5.7750000000000004</v>
      </c>
      <c r="B246">
        <v>0.47711627806928536</v>
      </c>
    </row>
    <row r="247" spans="1:2" x14ac:dyDescent="0.25">
      <c r="A247">
        <v>5.8</v>
      </c>
      <c r="B247">
        <v>0.40804025467650107</v>
      </c>
    </row>
    <row r="248" spans="1:2" x14ac:dyDescent="0.25">
      <c r="A248">
        <v>5.8250000000000002</v>
      </c>
      <c r="B248">
        <v>0.30313289737425686</v>
      </c>
    </row>
    <row r="249" spans="1:2" x14ac:dyDescent="0.25">
      <c r="A249">
        <v>5.85</v>
      </c>
      <c r="B249">
        <v>0.17170552707128686</v>
      </c>
    </row>
    <row r="250" spans="1:2" x14ac:dyDescent="0.25">
      <c r="A250">
        <v>5.875</v>
      </c>
      <c r="B250">
        <v>2.5377206837294809E-2</v>
      </c>
    </row>
    <row r="251" spans="1:2" x14ac:dyDescent="0.25">
      <c r="A251">
        <v>5.9</v>
      </c>
      <c r="B251">
        <v>-0.12294870799500524</v>
      </c>
    </row>
    <row r="252" spans="1:2" x14ac:dyDescent="0.25">
      <c r="A252">
        <v>5.9249999999999998</v>
      </c>
      <c r="B252">
        <v>-0.26021779933139488</v>
      </c>
    </row>
    <row r="253" spans="1:2" x14ac:dyDescent="0.25">
      <c r="A253">
        <v>5.95</v>
      </c>
      <c r="B253">
        <v>-0.37436853696071565</v>
      </c>
    </row>
    <row r="254" spans="1:2" x14ac:dyDescent="0.25">
      <c r="A254">
        <v>5.9749999999999996</v>
      </c>
      <c r="B254">
        <v>-0.45538721412581951</v>
      </c>
    </row>
    <row r="255" spans="1:2" x14ac:dyDescent="0.25">
      <c r="A255">
        <v>6</v>
      </c>
      <c r="B255">
        <v>-0.49618209780386829</v>
      </c>
    </row>
    <row r="256" spans="1:2" x14ac:dyDescent="0.25">
      <c r="A256">
        <v>6.0250000000000004</v>
      </c>
      <c r="B256">
        <v>-0.49320092179288005</v>
      </c>
    </row>
    <row r="257" spans="1:2" x14ac:dyDescent="0.25">
      <c r="A257">
        <v>6.05</v>
      </c>
      <c r="B257">
        <v>-0.446738289485684</v>
      </c>
    </row>
    <row r="258" spans="1:2" x14ac:dyDescent="0.25">
      <c r="A258">
        <v>6.0750000000000002</v>
      </c>
      <c r="B258">
        <v>-0.36090658142439702</v>
      </c>
    </row>
    <row r="259" spans="1:2" x14ac:dyDescent="0.25">
      <c r="A259">
        <v>6.1</v>
      </c>
      <c r="B259">
        <v>-0.24327323868338524</v>
      </c>
    </row>
    <row r="260" spans="1:2" x14ac:dyDescent="0.25">
      <c r="A260">
        <v>6.125</v>
      </c>
      <c r="B260">
        <v>-0.10419628591650987</v>
      </c>
    </row>
    <row r="261" spans="1:2" x14ac:dyDescent="0.25">
      <c r="A261">
        <v>6.15</v>
      </c>
      <c r="B261">
        <v>4.4083835467836965E-2</v>
      </c>
    </row>
    <row r="262" spans="1:2" x14ac:dyDescent="0.25">
      <c r="A262">
        <v>6.1749999999999998</v>
      </c>
      <c r="B262">
        <v>0.18851689377400174</v>
      </c>
    </row>
    <row r="263" spans="1:2" x14ac:dyDescent="0.25">
      <c r="A263">
        <v>6.2</v>
      </c>
      <c r="B263">
        <v>0.3163864349465636</v>
      </c>
    </row>
    <row r="264" spans="1:2" x14ac:dyDescent="0.25">
      <c r="A264">
        <v>6.2249999999999996</v>
      </c>
      <c r="B264">
        <v>0.41642459072915039</v>
      </c>
    </row>
    <row r="265" spans="1:2" x14ac:dyDescent="0.25">
      <c r="A265">
        <v>6.25</v>
      </c>
      <c r="B265">
        <v>0.47980088333579007</v>
      </c>
    </row>
    <row r="266" spans="1:2" x14ac:dyDescent="0.25">
      <c r="A266">
        <v>6.2750000000000004</v>
      </c>
      <c r="B266">
        <v>0.50089867312353853</v>
      </c>
    </row>
    <row r="267" spans="1:2" x14ac:dyDescent="0.25">
      <c r="A267">
        <v>6.3</v>
      </c>
      <c r="B267">
        <v>0.4778112846528017</v>
      </c>
    </row>
    <row r="268" spans="1:2" x14ac:dyDescent="0.25">
      <c r="A268">
        <v>6.3250000000000002</v>
      </c>
      <c r="B268">
        <v>0.4125141533041099</v>
      </c>
    </row>
    <row r="269" spans="1:2" x14ac:dyDescent="0.25">
      <c r="A269">
        <v>6.35</v>
      </c>
      <c r="B269">
        <v>0.31069746639316964</v>
      </c>
    </row>
    <row r="270" spans="1:2" x14ac:dyDescent="0.25">
      <c r="A270">
        <v>6.375</v>
      </c>
      <c r="B270">
        <v>0.18127330318028506</v>
      </c>
    </row>
    <row r="271" spans="1:2" x14ac:dyDescent="0.25">
      <c r="A271">
        <v>6.4</v>
      </c>
      <c r="B271">
        <v>3.5599655158983924E-2</v>
      </c>
    </row>
    <row r="272" spans="1:2" x14ac:dyDescent="0.25">
      <c r="A272">
        <v>6.4249999999999998</v>
      </c>
      <c r="B272">
        <v>-0.11351152758106911</v>
      </c>
    </row>
    <row r="273" spans="1:2" x14ac:dyDescent="0.25">
      <c r="A273">
        <v>6.45</v>
      </c>
      <c r="B273">
        <v>-0.25291612077728787</v>
      </c>
    </row>
    <row r="274" spans="1:2" x14ac:dyDescent="0.25">
      <c r="A274">
        <v>6.4749999999999996</v>
      </c>
      <c r="B274">
        <v>-0.37029173140413596</v>
      </c>
    </row>
    <row r="275" spans="1:2" x14ac:dyDescent="0.25">
      <c r="A275">
        <v>6.5</v>
      </c>
      <c r="B275">
        <v>-0.45522290611332961</v>
      </c>
    </row>
    <row r="276" spans="1:2" x14ac:dyDescent="0.25">
      <c r="A276">
        <v>6.5250000000000004</v>
      </c>
      <c r="B276">
        <v>-0.50012247604135285</v>
      </c>
    </row>
    <row r="277" spans="1:2" x14ac:dyDescent="0.25">
      <c r="A277">
        <v>6.55</v>
      </c>
      <c r="B277">
        <v>-0.50090782699631176</v>
      </c>
    </row>
    <row r="278" spans="1:2" x14ac:dyDescent="0.25">
      <c r="A278">
        <v>6.5750000000000002</v>
      </c>
      <c r="B278">
        <v>-0.45737196856815876</v>
      </c>
    </row>
    <row r="279" spans="1:2" x14ac:dyDescent="0.25">
      <c r="A279">
        <v>6.6</v>
      </c>
      <c r="B279">
        <v>-0.37321569077676969</v>
      </c>
    </row>
    <row r="280" spans="1:2" x14ac:dyDescent="0.25">
      <c r="A280">
        <v>6.625</v>
      </c>
      <c r="B280">
        <v>-0.25573657311149717</v>
      </c>
    </row>
    <row r="281" spans="1:2" x14ac:dyDescent="0.25">
      <c r="A281">
        <v>6.65</v>
      </c>
      <c r="B281">
        <v>-0.1152006010330509</v>
      </c>
    </row>
    <row r="282" spans="1:2" x14ac:dyDescent="0.25">
      <c r="A282">
        <v>6.6749999999999998</v>
      </c>
      <c r="B282">
        <v>3.6049957389113596E-2</v>
      </c>
    </row>
    <row r="283" spans="1:2" x14ac:dyDescent="0.25">
      <c r="A283">
        <v>6.7</v>
      </c>
      <c r="B283">
        <v>0.18467539796413573</v>
      </c>
    </row>
    <row r="284" spans="1:2" x14ac:dyDescent="0.25">
      <c r="A284">
        <v>6.7249999999999996</v>
      </c>
      <c r="B284">
        <v>0.31751036554254913</v>
      </c>
    </row>
    <row r="285" spans="1:2" x14ac:dyDescent="0.25">
      <c r="A285">
        <v>6.75</v>
      </c>
      <c r="B285">
        <v>0.42272612534593157</v>
      </c>
    </row>
    <row r="286" spans="1:2" x14ac:dyDescent="0.25">
      <c r="A286">
        <v>6.7750000000000004</v>
      </c>
      <c r="B286">
        <v>0.49088110877593022</v>
      </c>
    </row>
    <row r="287" spans="1:2" x14ac:dyDescent="0.25">
      <c r="A287">
        <v>6.8</v>
      </c>
      <c r="B287">
        <v>0.51576671126760398</v>
      </c>
    </row>
    <row r="288" spans="1:2" x14ac:dyDescent="0.25">
      <c r="A288">
        <v>6.8250000000000002</v>
      </c>
      <c r="B288">
        <v>0.49497271765419815</v>
      </c>
    </row>
    <row r="289" spans="1:2" x14ac:dyDescent="0.25">
      <c r="A289">
        <v>6.85</v>
      </c>
      <c r="B289">
        <v>0.43012087577225577</v>
      </c>
    </row>
    <row r="290" spans="1:2" x14ac:dyDescent="0.25">
      <c r="A290">
        <v>6.875</v>
      </c>
      <c r="B290">
        <v>0.32674396979167297</v>
      </c>
    </row>
    <row r="291" spans="1:2" x14ac:dyDescent="0.25">
      <c r="A291">
        <v>6.9</v>
      </c>
      <c r="B291">
        <v>0.19381877282361187</v>
      </c>
    </row>
    <row r="292" spans="1:2" x14ac:dyDescent="0.25">
      <c r="A292">
        <v>6.9249999999999998</v>
      </c>
      <c r="B292">
        <v>4.2991782268274645E-2</v>
      </c>
    </row>
    <row r="293" spans="1:2" x14ac:dyDescent="0.25">
      <c r="A293">
        <v>6.95</v>
      </c>
      <c r="B293">
        <v>-0.11243601990216448</v>
      </c>
    </row>
    <row r="294" spans="1:2" x14ac:dyDescent="0.25">
      <c r="A294">
        <v>6.9749999999999996</v>
      </c>
      <c r="B294">
        <v>-0.25867741235362707</v>
      </c>
    </row>
    <row r="295" spans="1:2" x14ac:dyDescent="0.25">
      <c r="A295">
        <v>7</v>
      </c>
      <c r="B295">
        <v>-0.38267805620418049</v>
      </c>
    </row>
    <row r="296" spans="1:2" x14ac:dyDescent="0.25">
      <c r="A296">
        <v>7.0250000000000004</v>
      </c>
      <c r="B296">
        <v>-0.4732790845309422</v>
      </c>
    </row>
    <row r="297" spans="1:2" x14ac:dyDescent="0.25">
      <c r="A297">
        <v>7.05</v>
      </c>
      <c r="B297">
        <v>-0.52221989419412274</v>
      </c>
    </row>
    <row r="298" spans="1:2" x14ac:dyDescent="0.25">
      <c r="A298">
        <v>7.0750000000000002</v>
      </c>
      <c r="B298">
        <v>-0.52489116318830187</v>
      </c>
    </row>
    <row r="299" spans="1:2" x14ac:dyDescent="0.25">
      <c r="A299">
        <v>7.1</v>
      </c>
      <c r="B299">
        <v>-0.48076946474796223</v>
      </c>
    </row>
    <row r="300" spans="1:2" x14ac:dyDescent="0.25">
      <c r="A300">
        <v>7.125</v>
      </c>
      <c r="B300">
        <v>-0.39349245073821459</v>
      </c>
    </row>
    <row r="301" spans="1:2" x14ac:dyDescent="0.25">
      <c r="A301">
        <v>7.15</v>
      </c>
      <c r="B301">
        <v>-0.27056505566653377</v>
      </c>
    </row>
    <row r="302" spans="1:2" x14ac:dyDescent="0.25">
      <c r="A302">
        <v>7.1749999999999998</v>
      </c>
      <c r="B302">
        <v>-0.12271978627964381</v>
      </c>
    </row>
    <row r="303" spans="1:2" x14ac:dyDescent="0.25">
      <c r="A303">
        <v>7.2</v>
      </c>
      <c r="B303">
        <v>3.701496189552303E-2</v>
      </c>
    </row>
    <row r="304" spans="1:2" x14ac:dyDescent="0.25">
      <c r="A304">
        <v>7.2249999999999996</v>
      </c>
      <c r="B304">
        <v>0.19445823013799882</v>
      </c>
    </row>
    <row r="305" spans="1:2" x14ac:dyDescent="0.25">
      <c r="A305">
        <v>7.25</v>
      </c>
      <c r="B305">
        <v>0.33553161348808824</v>
      </c>
    </row>
    <row r="306" spans="1:2" x14ac:dyDescent="0.25">
      <c r="A306">
        <v>7.2750000000000004</v>
      </c>
      <c r="B306">
        <v>0.44751546951511112</v>
      </c>
    </row>
    <row r="307" spans="1:2" x14ac:dyDescent="0.25">
      <c r="A307">
        <v>7.3</v>
      </c>
      <c r="B307">
        <v>0.52019439492766983</v>
      </c>
    </row>
    <row r="308" spans="1:2" x14ac:dyDescent="0.25">
      <c r="A308">
        <v>7.3250000000000002</v>
      </c>
      <c r="B308">
        <v>0.54678894911320874</v>
      </c>
    </row>
    <row r="309" spans="1:2" x14ac:dyDescent="0.25">
      <c r="A309">
        <v>7.35</v>
      </c>
      <c r="B309">
        <v>0.52458865866417237</v>
      </c>
    </row>
    <row r="310" spans="1:2" x14ac:dyDescent="0.25">
      <c r="A310">
        <v>7.375</v>
      </c>
      <c r="B310">
        <v>0.45522713873615128</v>
      </c>
    </row>
    <row r="311" spans="1:2" x14ac:dyDescent="0.25">
      <c r="A311">
        <v>7.4</v>
      </c>
      <c r="B311">
        <v>0.34457150441263817</v>
      </c>
    </row>
    <row r="312" spans="1:2" x14ac:dyDescent="0.25">
      <c r="A312">
        <v>7.4249999999999998</v>
      </c>
      <c r="B312">
        <v>0.20223238837828117</v>
      </c>
    </row>
    <row r="313" spans="1:2" x14ac:dyDescent="0.25">
      <c r="A313">
        <v>7.45</v>
      </c>
      <c r="B313">
        <v>4.0734818244441806E-2</v>
      </c>
    </row>
    <row r="314" spans="1:2" x14ac:dyDescent="0.25">
      <c r="A314">
        <v>7.4749999999999996</v>
      </c>
      <c r="B314">
        <v>-0.12557909156482092</v>
      </c>
    </row>
    <row r="315" spans="1:2" x14ac:dyDescent="0.25">
      <c r="A315">
        <v>7.5</v>
      </c>
      <c r="B315">
        <v>-0.28181998948711162</v>
      </c>
    </row>
    <row r="316" spans="1:2" x14ac:dyDescent="0.25">
      <c r="A316">
        <v>7.5250000000000004</v>
      </c>
      <c r="B316">
        <v>-0.41388163164685421</v>
      </c>
    </row>
    <row r="317" spans="1:2" x14ac:dyDescent="0.25">
      <c r="A317">
        <v>7.55</v>
      </c>
      <c r="B317">
        <v>-0.509713120405208</v>
      </c>
    </row>
    <row r="318" spans="1:2" x14ac:dyDescent="0.25">
      <c r="A318">
        <v>7.5750000000000002</v>
      </c>
      <c r="B318">
        <v>-0.56041842725147817</v>
      </c>
    </row>
    <row r="319" spans="1:2" x14ac:dyDescent="0.25">
      <c r="A319">
        <v>7.6</v>
      </c>
      <c r="B319">
        <v>-0.56108289401746303</v>
      </c>
    </row>
    <row r="320" spans="1:2" x14ac:dyDescent="0.25">
      <c r="A320">
        <v>7.625</v>
      </c>
      <c r="B320">
        <v>-0.51124985895539321</v>
      </c>
    </row>
    <row r="321" spans="1:2" x14ac:dyDescent="0.25">
      <c r="A321">
        <v>7.65</v>
      </c>
      <c r="B321">
        <v>-0.41500115946183913</v>
      </c>
    </row>
    <row r="322" spans="1:2" x14ac:dyDescent="0.25">
      <c r="A322">
        <v>7.6749999999999998</v>
      </c>
      <c r="B322">
        <v>-0.28063035833786715</v>
      </c>
    </row>
    <row r="323" spans="1:2" x14ac:dyDescent="0.25">
      <c r="A323">
        <v>7.7</v>
      </c>
      <c r="B323">
        <v>-0.11993402653732968</v>
      </c>
    </row>
    <row r="324" spans="1:2" x14ac:dyDescent="0.25">
      <c r="A324">
        <v>7.7249999999999996</v>
      </c>
      <c r="B324">
        <v>5.2818970051294711E-2</v>
      </c>
    </row>
    <row r="325" spans="1:2" x14ac:dyDescent="0.25">
      <c r="A325">
        <v>7.75</v>
      </c>
      <c r="B325">
        <v>0.22215062395962021</v>
      </c>
    </row>
    <row r="326" spans="1:2" x14ac:dyDescent="0.25">
      <c r="A326">
        <v>7.7750000000000004</v>
      </c>
      <c r="B326">
        <v>0.37275794539310941</v>
      </c>
    </row>
    <row r="327" spans="1:2" x14ac:dyDescent="0.25">
      <c r="A327">
        <v>7.8</v>
      </c>
      <c r="B327">
        <v>0.49089460628790355</v>
      </c>
    </row>
    <row r="328" spans="1:2" x14ac:dyDescent="0.25">
      <c r="A328">
        <v>7.8250000000000002</v>
      </c>
      <c r="B328">
        <v>0.5656254580279112</v>
      </c>
    </row>
    <row r="329" spans="1:2" x14ac:dyDescent="0.25">
      <c r="A329">
        <v>7.85</v>
      </c>
      <c r="B329">
        <v>0.58983944730677862</v>
      </c>
    </row>
    <row r="330" spans="1:2" x14ac:dyDescent="0.25">
      <c r="A330">
        <v>7.875</v>
      </c>
      <c r="B330">
        <v>0.5609270348049098</v>
      </c>
    </row>
    <row r="331" spans="1:2" x14ac:dyDescent="0.25">
      <c r="A331">
        <v>7.9</v>
      </c>
      <c r="B331">
        <v>0.48105751217301601</v>
      </c>
    </row>
    <row r="332" spans="1:2" x14ac:dyDescent="0.25">
      <c r="A332">
        <v>7.9249999999999998</v>
      </c>
      <c r="B332">
        <v>0.35702707161828751</v>
      </c>
    </row>
    <row r="333" spans="1:2" x14ac:dyDescent="0.25">
      <c r="A333">
        <v>7.95</v>
      </c>
      <c r="B333">
        <v>0.1996869770149069</v>
      </c>
    </row>
    <row r="334" spans="1:2" x14ac:dyDescent="0.25">
      <c r="A334">
        <v>7.9749999999999996</v>
      </c>
      <c r="B334">
        <v>2.299926986527806E-2</v>
      </c>
    </row>
    <row r="335" spans="1:2" x14ac:dyDescent="0.25">
      <c r="A335">
        <v>8</v>
      </c>
      <c r="B335">
        <v>-0.15719833442700401</v>
      </c>
    </row>
    <row r="336" spans="1:2" x14ac:dyDescent="0.25">
      <c r="A336">
        <v>8.0250000000000004</v>
      </c>
      <c r="B336">
        <v>-0.32460949000824602</v>
      </c>
    </row>
    <row r="337" spans="1:2" x14ac:dyDescent="0.25">
      <c r="A337">
        <v>8.0500000000000007</v>
      </c>
      <c r="B337">
        <v>-0.46395167640823459</v>
      </c>
    </row>
    <row r="338" spans="1:2" x14ac:dyDescent="0.25">
      <c r="A338">
        <v>8.0749999999999993</v>
      </c>
      <c r="B338">
        <v>-0.56235115367704147</v>
      </c>
    </row>
    <row r="339" spans="1:2" x14ac:dyDescent="0.25">
      <c r="A339">
        <v>8.1</v>
      </c>
      <c r="B339">
        <v>-0.61053310263879579</v>
      </c>
    </row>
    <row r="340" spans="1:2" x14ac:dyDescent="0.25">
      <c r="A340">
        <v>8.125</v>
      </c>
      <c r="B340">
        <v>-0.60369685322736011</v>
      </c>
    </row>
    <row r="341" spans="1:2" x14ac:dyDescent="0.25">
      <c r="A341">
        <v>8.15</v>
      </c>
      <c r="B341">
        <v>-0.54199351280272801</v>
      </c>
    </row>
    <row r="342" spans="1:2" x14ac:dyDescent="0.25">
      <c r="A342">
        <v>8.1750000000000007</v>
      </c>
      <c r="B342">
        <v>-0.43055853645018083</v>
      </c>
    </row>
    <row r="343" spans="1:2" x14ac:dyDescent="0.25">
      <c r="A343">
        <v>8.1999999999999993</v>
      </c>
      <c r="B343">
        <v>-0.27909172128391957</v>
      </c>
    </row>
    <row r="344" spans="1:2" x14ac:dyDescent="0.25">
      <c r="A344">
        <v>8.2249999999999996</v>
      </c>
      <c r="B344">
        <v>-0.10101817853239439</v>
      </c>
    </row>
    <row r="345" spans="1:2" x14ac:dyDescent="0.25">
      <c r="A345">
        <v>8.25</v>
      </c>
      <c r="B345">
        <v>8.7697684473834664E-2</v>
      </c>
    </row>
    <row r="346" spans="1:2" x14ac:dyDescent="0.25">
      <c r="A346">
        <v>8.2750000000000004</v>
      </c>
      <c r="B346">
        <v>0.26998078982286966</v>
      </c>
    </row>
    <row r="347" spans="1:2" x14ac:dyDescent="0.25">
      <c r="A347">
        <v>8.3000000000000007</v>
      </c>
      <c r="B347">
        <v>0.42918903588580859</v>
      </c>
    </row>
    <row r="348" spans="1:2" x14ac:dyDescent="0.25">
      <c r="A348">
        <v>8.3249999999999993</v>
      </c>
      <c r="B348">
        <v>0.55063254422134611</v>
      </c>
    </row>
    <row r="349" spans="1:2" x14ac:dyDescent="0.25">
      <c r="A349">
        <v>8.35</v>
      </c>
      <c r="B349">
        <v>0.62292982968528221</v>
      </c>
    </row>
    <row r="350" spans="1:2" x14ac:dyDescent="0.25">
      <c r="A350">
        <v>8.375</v>
      </c>
      <c r="B350">
        <v>0.6390756183998948</v>
      </c>
    </row>
    <row r="351" spans="1:2" x14ac:dyDescent="0.25">
      <c r="A351">
        <v>8.4</v>
      </c>
      <c r="B351">
        <v>0.59712001909941881</v>
      </c>
    </row>
    <row r="352" spans="1:2" x14ac:dyDescent="0.25">
      <c r="A352">
        <v>8.4250000000000007</v>
      </c>
      <c r="B352">
        <v>0.50039316495922381</v>
      </c>
    </row>
    <row r="353" spans="1:2" x14ac:dyDescent="0.25">
      <c r="A353">
        <v>8.4499999999999993</v>
      </c>
      <c r="B353">
        <v>0.35725024891235446</v>
      </c>
    </row>
    <row r="354" spans="1:2" x14ac:dyDescent="0.25">
      <c r="A354">
        <v>8.4749999999999996</v>
      </c>
      <c r="B354">
        <v>0.18035541831996646</v>
      </c>
    </row>
    <row r="355" spans="1:2" x14ac:dyDescent="0.25">
      <c r="A355">
        <v>8.5</v>
      </c>
      <c r="B355">
        <v>-1.443467636311177E-2</v>
      </c>
    </row>
    <row r="356" spans="1:2" x14ac:dyDescent="0.25">
      <c r="A356">
        <v>8.5250000000000004</v>
      </c>
      <c r="B356">
        <v>-0.20948965606607484</v>
      </c>
    </row>
    <row r="357" spans="1:2" x14ac:dyDescent="0.25">
      <c r="A357">
        <v>8.5500000000000007</v>
      </c>
      <c r="B357">
        <v>-0.38699982513207631</v>
      </c>
    </row>
    <row r="358" spans="1:2" x14ac:dyDescent="0.25">
      <c r="A358">
        <v>8.5749999999999993</v>
      </c>
      <c r="B358">
        <v>-0.53060215868835592</v>
      </c>
    </row>
    <row r="359" spans="1:2" x14ac:dyDescent="0.25">
      <c r="A359">
        <v>8.6</v>
      </c>
      <c r="B359">
        <v>-0.62688943039745859</v>
      </c>
    </row>
    <row r="360" spans="1:2" x14ac:dyDescent="0.25">
      <c r="A360">
        <v>8.625</v>
      </c>
      <c r="B360">
        <v>-0.66666322198530104</v>
      </c>
    </row>
    <row r="361" spans="1:2" x14ac:dyDescent="0.25">
      <c r="A361">
        <v>8.65</v>
      </c>
      <c r="B361">
        <v>-0.64581359000564253</v>
      </c>
    </row>
    <row r="362" spans="1:2" x14ac:dyDescent="0.25">
      <c r="A362">
        <v>8.6750000000000007</v>
      </c>
      <c r="B362">
        <v>-0.56574117782563293</v>
      </c>
    </row>
    <row r="363" spans="1:2" x14ac:dyDescent="0.25">
      <c r="A363">
        <v>8.6999999999999993</v>
      </c>
      <c r="B363">
        <v>-0.43327864328030208</v>
      </c>
    </row>
    <row r="364" spans="1:2" x14ac:dyDescent="0.25">
      <c r="A364">
        <v>8.7249999999999996</v>
      </c>
      <c r="B364">
        <v>-0.26011374222303885</v>
      </c>
    </row>
    <row r="365" spans="1:2" x14ac:dyDescent="0.25">
      <c r="A365">
        <v>8.75</v>
      </c>
      <c r="B365">
        <v>-6.1762138082871731E-2</v>
      </c>
    </row>
    <row r="366" spans="1:2" x14ac:dyDescent="0.25">
      <c r="A366">
        <v>8.7750000000000004</v>
      </c>
      <c r="B366">
        <v>0.14382019986568953</v>
      </c>
    </row>
    <row r="367" spans="1:2" x14ac:dyDescent="0.25">
      <c r="A367">
        <v>8.8000000000000007</v>
      </c>
      <c r="B367">
        <v>0.33786117371559488</v>
      </c>
    </row>
    <row r="368" spans="1:2" x14ac:dyDescent="0.25">
      <c r="A368">
        <v>8.8249999999999993</v>
      </c>
      <c r="B368">
        <v>0.50248652630288548</v>
      </c>
    </row>
    <row r="369" spans="1:2" x14ac:dyDescent="0.25">
      <c r="A369">
        <v>8.85</v>
      </c>
      <c r="B369">
        <v>0.62236712454488585</v>
      </c>
    </row>
    <row r="370" spans="1:2" x14ac:dyDescent="0.25">
      <c r="A370">
        <v>8.875</v>
      </c>
      <c r="B370">
        <v>0.68614766806895777</v>
      </c>
    </row>
    <row r="371" spans="1:2" x14ac:dyDescent="0.25">
      <c r="A371">
        <v>8.9</v>
      </c>
      <c r="B371">
        <v>0.68752353632709862</v>
      </c>
    </row>
    <row r="372" spans="1:2" x14ac:dyDescent="0.25">
      <c r="A372">
        <v>8.9250000000000007</v>
      </c>
      <c r="B372">
        <v>0.62586353611912904</v>
      </c>
    </row>
    <row r="373" spans="1:2" x14ac:dyDescent="0.25">
      <c r="A373">
        <v>8.9499999999999993</v>
      </c>
      <c r="B373">
        <v>0.50631707803986925</v>
      </c>
    </row>
    <row r="374" spans="1:2" x14ac:dyDescent="0.25">
      <c r="A374">
        <v>8.9749999999999996</v>
      </c>
      <c r="B374">
        <v>0.339391141078773</v>
      </c>
    </row>
    <row r="375" spans="1:2" x14ac:dyDescent="0.25">
      <c r="A375">
        <v>9</v>
      </c>
      <c r="B375">
        <v>0.14003102780651908</v>
      </c>
    </row>
    <row r="376" spans="1:2" x14ac:dyDescent="0.25">
      <c r="A376">
        <v>9.0250000000000004</v>
      </c>
      <c r="B376">
        <v>-7.3715095444448125E-2</v>
      </c>
    </row>
    <row r="377" spans="1:2" x14ac:dyDescent="0.25">
      <c r="A377">
        <v>9.0500000000000007</v>
      </c>
      <c r="B377">
        <v>-0.28232880437046881</v>
      </c>
    </row>
    <row r="378" spans="1:2" x14ac:dyDescent="0.25">
      <c r="A378">
        <v>9.0749999999999993</v>
      </c>
      <c r="B378">
        <v>-0.46660361460474054</v>
      </c>
    </row>
    <row r="379" spans="1:2" x14ac:dyDescent="0.25">
      <c r="A379">
        <v>9.1</v>
      </c>
      <c r="B379">
        <v>-0.60941405614761168</v>
      </c>
    </row>
    <row r="380" spans="1:2" x14ac:dyDescent="0.25">
      <c r="A380">
        <v>9.125</v>
      </c>
      <c r="B380">
        <v>-0.69730860160777441</v>
      </c>
    </row>
    <row r="381" spans="1:2" x14ac:dyDescent="0.25">
      <c r="A381">
        <v>9.15</v>
      </c>
      <c r="B381">
        <v>-0.72177814863056122</v>
      </c>
    </row>
    <row r="382" spans="1:2" x14ac:dyDescent="0.25">
      <c r="A382">
        <v>9.1750000000000007</v>
      </c>
      <c r="B382">
        <v>-0.68008029929660019</v>
      </c>
    </row>
    <row r="383" spans="1:2" x14ac:dyDescent="0.25">
      <c r="A383">
        <v>9.1999999999999993</v>
      </c>
      <c r="B383">
        <v>-0.57553954113151651</v>
      </c>
    </row>
    <row r="384" spans="1:2" x14ac:dyDescent="0.25">
      <c r="A384">
        <v>9.2249999999999996</v>
      </c>
      <c r="B384">
        <v>-0.4172910446400227</v>
      </c>
    </row>
    <row r="385" spans="1:2" x14ac:dyDescent="0.25">
      <c r="A385">
        <v>9.25</v>
      </c>
      <c r="B385">
        <v>-0.21948682807215131</v>
      </c>
    </row>
    <row r="386" spans="1:2" x14ac:dyDescent="0.25">
      <c r="A386">
        <v>9.2750000000000004</v>
      </c>
      <c r="B386">
        <v>-3.2818990236549439E-5</v>
      </c>
    </row>
    <row r="387" spans="1:2" x14ac:dyDescent="0.25">
      <c r="A387">
        <v>9.3000000000000007</v>
      </c>
      <c r="B387">
        <v>0.22103074817273285</v>
      </c>
    </row>
    <row r="388" spans="1:2" x14ac:dyDescent="0.25">
      <c r="A388">
        <v>9.3249999999999993</v>
      </c>
      <c r="B388">
        <v>0.42335923346500515</v>
      </c>
    </row>
    <row r="389" spans="1:2" x14ac:dyDescent="0.25">
      <c r="A389">
        <v>9.35</v>
      </c>
      <c r="B389">
        <v>0.58817671507414371</v>
      </c>
    </row>
    <row r="390" spans="1:2" x14ac:dyDescent="0.25">
      <c r="A390">
        <v>9.375</v>
      </c>
      <c r="B390">
        <v>0.70001980048693413</v>
      </c>
    </row>
    <row r="391" spans="1:2" x14ac:dyDescent="0.25">
      <c r="A391">
        <v>9.4</v>
      </c>
      <c r="B391">
        <v>0.74819003193760791</v>
      </c>
    </row>
    <row r="392" spans="1:2" x14ac:dyDescent="0.25">
      <c r="A392">
        <v>9.4250000000000007</v>
      </c>
      <c r="B392">
        <v>0.72777831483963529</v>
      </c>
    </row>
    <row r="393" spans="1:2" x14ac:dyDescent="0.25">
      <c r="A393">
        <v>9.4499999999999993</v>
      </c>
      <c r="B393">
        <v>0.64016317638516829</v>
      </c>
    </row>
    <row r="394" spans="1:2" x14ac:dyDescent="0.25">
      <c r="A394">
        <v>9.4749999999999996</v>
      </c>
      <c r="B394">
        <v>0.4929324611386825</v>
      </c>
    </row>
    <row r="395" spans="1:2" x14ac:dyDescent="0.25">
      <c r="A395">
        <v>9.5</v>
      </c>
      <c r="B395">
        <v>0.29923095104124658</v>
      </c>
    </row>
    <row r="396" spans="1:2" x14ac:dyDescent="0.25">
      <c r="A396">
        <v>9.5250000000000004</v>
      </c>
      <c r="B396">
        <v>7.6589507675012214E-2</v>
      </c>
    </row>
    <row r="397" spans="1:2" x14ac:dyDescent="0.25">
      <c r="A397">
        <v>9.5500000000000007</v>
      </c>
      <c r="B397">
        <v>-0.15466024196148515</v>
      </c>
    </row>
    <row r="398" spans="1:2" x14ac:dyDescent="0.25">
      <c r="A398">
        <v>9.5749999999999993</v>
      </c>
      <c r="B398">
        <v>-0.37324244566885578</v>
      </c>
    </row>
    <row r="399" spans="1:2" x14ac:dyDescent="0.25">
      <c r="A399">
        <v>9.6</v>
      </c>
      <c r="B399">
        <v>-0.55889528034662184</v>
      </c>
    </row>
    <row r="400" spans="1:2" x14ac:dyDescent="0.25">
      <c r="A400">
        <v>9.625</v>
      </c>
      <c r="B400">
        <v>-0.69425060300102637</v>
      </c>
    </row>
    <row r="401" spans="1:2" x14ac:dyDescent="0.25">
      <c r="A401">
        <v>9.65</v>
      </c>
      <c r="B401">
        <v>-0.766460486882651</v>
      </c>
    </row>
    <row r="402" spans="1:2" x14ac:dyDescent="0.25">
      <c r="A402">
        <v>9.6750000000000007</v>
      </c>
      <c r="B402">
        <v>-0.76841815256761115</v>
      </c>
    </row>
    <row r="403" spans="1:2" x14ac:dyDescent="0.25">
      <c r="A403">
        <v>9.6999999999999993</v>
      </c>
      <c r="B403">
        <v>-0.69945713705929036</v>
      </c>
    </row>
    <row r="404" spans="1:2" x14ac:dyDescent="0.25">
      <c r="A404">
        <v>9.7249999999999996</v>
      </c>
      <c r="B404">
        <v>-0.56545994066767402</v>
      </c>
    </row>
    <row r="405" spans="1:2" x14ac:dyDescent="0.25">
      <c r="A405">
        <v>9.75</v>
      </c>
      <c r="B405">
        <v>-0.37836154815329837</v>
      </c>
    </row>
    <row r="406" spans="1:2" x14ac:dyDescent="0.25">
      <c r="A406">
        <v>9.7750000000000004</v>
      </c>
      <c r="B406">
        <v>-0.1550891696339961</v>
      </c>
    </row>
    <row r="407" spans="1:2" x14ac:dyDescent="0.25">
      <c r="A407">
        <v>9.8000000000000007</v>
      </c>
      <c r="B407">
        <v>8.396788832984553E-2</v>
      </c>
    </row>
    <row r="408" spans="1:2" x14ac:dyDescent="0.25">
      <c r="A408">
        <v>9.8249999999999993</v>
      </c>
      <c r="B408">
        <v>0.31682003596793051</v>
      </c>
    </row>
    <row r="409" spans="1:2" x14ac:dyDescent="0.25">
      <c r="A409">
        <v>9.85</v>
      </c>
      <c r="B409">
        <v>0.52190090388916166</v>
      </c>
    </row>
    <row r="410" spans="1:2" x14ac:dyDescent="0.25">
      <c r="A410">
        <v>9.875</v>
      </c>
      <c r="B410">
        <v>0.68006625461584791</v>
      </c>
    </row>
    <row r="411" spans="1:2" x14ac:dyDescent="0.25">
      <c r="A411">
        <v>9.9</v>
      </c>
      <c r="B411">
        <v>0.77638288778747389</v>
      </c>
    </row>
    <row r="412" spans="1:2" x14ac:dyDescent="0.25">
      <c r="A412">
        <v>9.9250000000000007</v>
      </c>
      <c r="B412">
        <v>0.80154020520428781</v>
      </c>
    </row>
    <row r="413" spans="1:2" x14ac:dyDescent="0.25">
      <c r="A413">
        <v>9.9499999999999993</v>
      </c>
      <c r="B413">
        <v>0.7527508511908334</v>
      </c>
    </row>
    <row r="414" spans="1:2" x14ac:dyDescent="0.25">
      <c r="A414">
        <v>9.9749999999999996</v>
      </c>
      <c r="B414">
        <v>0.63405324970288446</v>
      </c>
    </row>
    <row r="415" spans="1:2" x14ac:dyDescent="0.25">
      <c r="A415">
        <v>10</v>
      </c>
      <c r="B415">
        <v>0.45598370938308241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G11"/>
  <sheetViews>
    <sheetView workbookViewId="0"/>
  </sheetViews>
  <sheetFormatPr defaultRowHeight="15" x14ac:dyDescent="0.25"/>
  <sheetData>
    <row r="1" spans="3:7" x14ac:dyDescent="0.25">
      <c r="C1" t="s">
        <v>42</v>
      </c>
      <c r="D1" t="s">
        <v>43</v>
      </c>
    </row>
    <row r="2" spans="3:7" x14ac:dyDescent="0.25">
      <c r="C2">
        <v>0.5</v>
      </c>
      <c r="D2">
        <v>10</v>
      </c>
      <c r="F2" t="s">
        <v>44</v>
      </c>
      <c r="G2">
        <v>4.9000000000000004</v>
      </c>
    </row>
    <row r="3" spans="3:7" x14ac:dyDescent="0.25">
      <c r="C3">
        <v>1</v>
      </c>
      <c r="D3">
        <v>9</v>
      </c>
      <c r="G3">
        <f>LinInt(G2,C2:C11,D2:D11,TRUE)</f>
        <v>-9.4000000000000021</v>
      </c>
    </row>
    <row r="4" spans="3:7" x14ac:dyDescent="0.25">
      <c r="C4">
        <v>1.5</v>
      </c>
      <c r="D4">
        <v>6</v>
      </c>
    </row>
    <row r="5" spans="3:7" x14ac:dyDescent="0.25">
      <c r="C5">
        <v>2</v>
      </c>
      <c r="D5">
        <v>4</v>
      </c>
    </row>
    <row r="6" spans="3:7" x14ac:dyDescent="0.25">
      <c r="C6">
        <v>2.5</v>
      </c>
      <c r="D6">
        <v>2</v>
      </c>
    </row>
    <row r="7" spans="3:7" x14ac:dyDescent="0.25">
      <c r="C7">
        <v>3</v>
      </c>
      <c r="D7">
        <v>1</v>
      </c>
    </row>
    <row r="8" spans="3:7" x14ac:dyDescent="0.25">
      <c r="C8">
        <v>3.5</v>
      </c>
      <c r="D8">
        <v>0.5</v>
      </c>
    </row>
    <row r="9" spans="3:7" x14ac:dyDescent="0.25">
      <c r="C9">
        <v>4</v>
      </c>
      <c r="D9">
        <v>0</v>
      </c>
    </row>
    <row r="10" spans="3:7" x14ac:dyDescent="0.25">
      <c r="C10">
        <v>4.5</v>
      </c>
      <c r="D10">
        <v>-7</v>
      </c>
    </row>
    <row r="11" spans="3:7" x14ac:dyDescent="0.25">
      <c r="C11">
        <v>5</v>
      </c>
      <c r="D11">
        <v>-10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del t = 0.05</vt:lpstr>
      <vt:lpstr>del t = 0.01</vt:lpstr>
      <vt:lpstr>Sheet2</vt:lpstr>
      <vt:lpstr>Sheet3</vt:lpstr>
      <vt:lpstr>Water Levels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2014-10-15T21:02:58Z</dcterms:modified>
</cp:coreProperties>
</file>